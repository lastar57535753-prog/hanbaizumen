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登録前確認" sheetId="1" state="visible" r:id="rId1"/>
    <sheet xmlns:r="http://schemas.openxmlformats.org/officeDocument/2006/relationships" name="食い違い・確認事項"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Hiragino Sans"/>
      <b val="1"/>
      <sz val="14"/>
    </font>
    <font>
      <name val="Hiragino Sans"/>
      <sz val="10"/>
    </font>
    <font>
      <name val="Hiragino Sans"/>
      <b val="1"/>
      <color rgb="00FFFFFF"/>
      <sz val="10"/>
    </font>
    <font>
      <name val="Hiragino Sans"/>
      <b val="1"/>
      <sz val="10"/>
    </font>
  </fonts>
  <fills count="5">
    <fill>
      <patternFill/>
    </fill>
    <fill>
      <patternFill patternType="gray125"/>
    </fill>
    <fill>
      <patternFill patternType="solid">
        <fgColor rgb="001A2C56"/>
      </patternFill>
    </fill>
    <fill>
      <patternFill patternType="solid">
        <fgColor rgb="00FBF8F2"/>
      </patternFill>
    </fill>
    <fill>
      <patternFill patternType="solid">
        <fgColor rgb="00F8D7D7"/>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xf numFmtId="0" fontId="3"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4" customWidth="1" min="3" max="3"/>
    <col width="14" customWidth="1" min="4" max="4"/>
    <col width="11" customWidth="1" min="5" max="5"/>
    <col width="10" customWidth="1" min="6" max="6"/>
    <col width="8" customWidth="1" min="7" max="7"/>
    <col width="8" customWidth="1" min="8" max="8"/>
    <col width="12" customWidth="1" min="9" max="9"/>
    <col width="10" customWidth="1" min="10" max="10"/>
    <col width="60" customWidth="1" min="11" max="11"/>
    <col width="50" customWidth="1" min="12" max="12"/>
  </cols>
  <sheetData>
    <row r="1">
      <c r="A1" s="1" t="inlineStr">
        <is>
          <t>21Cloud 登録前確認一覧（数値は販売図面の値で入力・出稿）</t>
        </is>
      </c>
    </row>
    <row r="2">
      <c r="A2" s="2" t="inlineStr">
        <is>
          <t>写真は元付HP・販売図面・同一住戸の他社掲載由来で、透かしの無いものだけを掲載（依頼者指示 2026-09-28）。要許可写真（別住戸・分譲会社サイト等）は許可取得後に --include-pending で追加可。詳細は各住戸の 21cloud入力.md。</t>
        </is>
      </c>
    </row>
    <row r="4">
      <c r="A4" s="3" t="inlineStr">
        <is>
          <t>No</t>
        </is>
      </c>
      <c r="B4" s="3" t="inlineStr">
        <is>
          <t>マンション</t>
        </is>
      </c>
      <c r="C4" s="3" t="inlineStr">
        <is>
          <t>住戸</t>
        </is>
      </c>
      <c r="D4" s="3" t="inlineStr">
        <is>
          <t>価格（図面）</t>
        </is>
      </c>
      <c r="E4" s="3" t="inlineStr">
        <is>
          <t>専有面積</t>
        </is>
      </c>
      <c r="F4" s="3" t="inlineStr">
        <is>
          <t>所在階</t>
        </is>
      </c>
      <c r="G4" s="3" t="inlineStr">
        <is>
          <t>許可済み写真</t>
        </is>
      </c>
      <c r="H4" s="3" t="inlineStr">
        <is>
          <t>要許可写真</t>
        </is>
      </c>
      <c r="I4" s="3" t="inlineStr">
        <is>
          <t>数値の食い違い（図面値で入力）</t>
        </is>
      </c>
      <c r="J4" s="3" t="inlineStr">
        <is>
          <t>文言の確認事項</t>
        </is>
      </c>
      <c r="K4" s="3" t="inlineStr">
        <is>
          <t>at homeおすすめコメント（100字）</t>
        </is>
      </c>
      <c r="L4" s="3" t="inlineStr">
        <is>
          <t>注意</t>
        </is>
      </c>
    </row>
    <row r="5" ht="62" customHeight="1">
      <c r="A5" s="4" t="inlineStr">
        <is>
          <t>01</t>
        </is>
      </c>
      <c r="B5" s="4" t="inlineStr">
        <is>
          <t>高輪ザ・レジデンス</t>
        </is>
      </c>
      <c r="C5" s="4" t="inlineStr">
        <is>
          <t>43階</t>
        </is>
      </c>
      <c r="D5" s="4" t="inlineStr">
        <is>
          <t>89800万円</t>
        </is>
      </c>
      <c r="E5" s="4" t="inlineStr">
        <is>
          <t>224.19㎡</t>
        </is>
      </c>
      <c r="F5" s="4" t="inlineStr">
        <is>
          <t>43階</t>
        </is>
      </c>
      <c r="G5" s="4" t="n">
        <v>26</v>
      </c>
      <c r="H5" s="4" t="n">
        <v>33</v>
      </c>
      <c r="I5" s="4" t="n">
        <v>8</v>
      </c>
      <c r="J5" s="4" t="n">
        <v>10</v>
      </c>
      <c r="K5" s="4" t="inlineStr">
        <is>
          <t>フルリノベーション済みの４３階、専有２２４．１９㎡。約５６．５７帖のＬＤＫにバーカウンターを備え、西向きのバルコニーから富士山を望めます（天候による）。主寝室約１６帖、浴室２か所。空室。</t>
        </is>
      </c>
      <c r="L5" s="4" t="inlineStr">
        <is>
          <t>図面に広告掲載の制限表記（承諾取得済みの前提）</t>
        </is>
      </c>
    </row>
    <row r="6" ht="62" customHeight="1">
      <c r="A6" s="5" t="inlineStr">
        <is>
          <t>01</t>
        </is>
      </c>
      <c r="B6" s="5" t="inlineStr">
        <is>
          <t>高輪ザ・レジデンス</t>
        </is>
      </c>
      <c r="C6" s="5" t="inlineStr">
        <is>
          <t>44階</t>
        </is>
      </c>
      <c r="D6" s="5" t="inlineStr">
        <is>
          <t>88700万円</t>
        </is>
      </c>
      <c r="E6" s="5" t="inlineStr">
        <is>
          <t>261.94㎡（壁芯）</t>
        </is>
      </c>
      <c r="F6" s="5" t="inlineStr">
        <is>
          <t>44階</t>
        </is>
      </c>
      <c r="G6" s="5" t="n">
        <v>31</v>
      </c>
      <c r="H6" s="5" t="n">
        <v>16</v>
      </c>
      <c r="I6" s="5" t="n">
        <v>7</v>
      </c>
      <c r="J6" s="5" t="n">
        <v>9</v>
      </c>
      <c r="K6" s="5" t="inlineStr">
        <is>
          <t>４４階の東向き、東京タワーとスカイツリーを望む専有２６１．９４㎡（天候による）。バルコニーは３か所、約３９．８帖のリビングは床暖房付き。約８帖の和室、浴室・洗面室・トイレ各２か所。空室。</t>
        </is>
      </c>
      <c r="L6" s="5" t="inlineStr"/>
    </row>
    <row r="7" ht="62" customHeight="1">
      <c r="A7" s="4" t="inlineStr">
        <is>
          <t>01</t>
        </is>
      </c>
      <c r="B7" s="4" t="inlineStr">
        <is>
          <t>高輪ザ・レジデンス</t>
        </is>
      </c>
      <c r="C7" s="4" t="inlineStr">
        <is>
          <t>46-47階</t>
        </is>
      </c>
      <c r="D7" s="4" t="inlineStr">
        <is>
          <t>119000万円</t>
        </is>
      </c>
      <c r="E7" s="4" t="inlineStr">
        <is>
          <t>285.25㎡（壁芯）</t>
        </is>
      </c>
      <c r="F7" s="4" t="inlineStr">
        <is>
          <t>46・47階（メゾネット・最上階）</t>
        </is>
      </c>
      <c r="G7" s="4" t="n">
        <v>14</v>
      </c>
      <c r="H7" s="4" t="n">
        <v>22</v>
      </c>
      <c r="I7" s="4" t="n">
        <v>6</v>
      </c>
      <c r="J7" s="4" t="n">
        <v>11</v>
      </c>
      <c r="K7" s="4" t="inlineStr">
        <is>
          <t>最上階４６・４７階の２層メゾネット、専有２８５．２５㎡の南向き角住戸。約５０帖の吹抜けリビングに、サウナ、ジム、バー、ワインセラーを備えます。２０２４年１月改装。富士山眺望（天候による）。</t>
        </is>
      </c>
      <c r="L7" s="4" t="inlineStr">
        <is>
          <t>図面に広告掲載の制限表記（承諾取得済みの前提）</t>
        </is>
      </c>
    </row>
    <row r="8" ht="62" customHeight="1">
      <c r="A8" s="5" t="inlineStr">
        <is>
          <t>02</t>
        </is>
      </c>
      <c r="B8" s="5" t="inlineStr">
        <is>
          <t>アクシア青山</t>
        </is>
      </c>
      <c r="C8" s="5" t="inlineStr">
        <is>
          <t>20階</t>
        </is>
      </c>
      <c r="D8" s="5" t="inlineStr">
        <is>
          <t>138000万円</t>
        </is>
      </c>
      <c r="E8" s="5" t="inlineStr">
        <is>
          <t>266.79㎡（壁芯）</t>
        </is>
      </c>
      <c r="F8" s="5" t="inlineStr">
        <is>
          <t>20階</t>
        </is>
      </c>
      <c r="G8" s="5" t="n">
        <v>22</v>
      </c>
      <c r="H8" s="5" t="n">
        <v>2</v>
      </c>
      <c r="I8" s="5" t="n">
        <v>6</v>
      </c>
      <c r="J8" s="5" t="n">
        <v>9</v>
      </c>
      <c r="K8" s="5" t="inlineStr">
        <is>
          <t>上階に住戸のない２０階の角住戸、専有２６６．７９㎡に計４９．８３㎡のルーフテラス。４面採光の５ＬＤＫで、ファミリールームと和室、トイレ３か所。コンシェルジュと２４時間有人管理。青山一丁目駅徒歩４分。</t>
        </is>
      </c>
      <c r="L8" s="5" t="inlineStr"/>
    </row>
    <row r="9" ht="62" customHeight="1">
      <c r="A9" s="4" t="inlineStr">
        <is>
          <t>03</t>
        </is>
      </c>
      <c r="B9" s="4" t="inlineStr">
        <is>
          <t>シティタワー高輪</t>
        </is>
      </c>
      <c r="C9" s="4" t="inlineStr">
        <is>
          <t>34階</t>
        </is>
      </c>
      <c r="D9" s="4" t="inlineStr">
        <is>
          <t>89800万円</t>
        </is>
      </c>
      <c r="E9" s="4" t="inlineStr">
        <is>
          <t>226.12㎡（壁芯）</t>
        </is>
      </c>
      <c r="F9" s="4" t="inlineStr">
        <is>
          <t>34階</t>
        </is>
      </c>
      <c r="G9" s="4" t="n">
        <v>34</v>
      </c>
      <c r="H9" s="4" t="n">
        <v>7</v>
      </c>
      <c r="I9" s="4" t="n">
        <v>4</v>
      </c>
      <c r="J9" s="4" t="n">
        <v>11</v>
      </c>
      <c r="K9" s="4" t="inlineStr">
        <is>
          <t>３４階の北東角住戸、専有２２６．１２㎡。東京タワー方面を望み（天候による）、約４６．６帖のＬＤＫに畳コーナー。平置き・シャッター付駐車場の専用使用権付き。２０１７年内装リフォーム実施済。</t>
        </is>
      </c>
      <c r="L9" s="4" t="inlineStr">
        <is>
          <t>図面に広告掲載の制限表記（承諾取得済みの前提）</t>
        </is>
      </c>
    </row>
    <row r="10" ht="62" customHeight="1">
      <c r="A10" s="5" t="inlineStr">
        <is>
          <t>04</t>
        </is>
      </c>
      <c r="B10" s="5" t="inlineStr">
        <is>
          <t>パークコート赤坂ザタワー</t>
        </is>
      </c>
      <c r="C10" s="5" t="inlineStr">
        <is>
          <t>4307号室</t>
        </is>
      </c>
      <c r="D10" s="5" t="inlineStr">
        <is>
          <t>188000万円</t>
        </is>
      </c>
      <c r="E10" s="5" t="inlineStr">
        <is>
          <t>218.19㎡</t>
        </is>
      </c>
      <c r="F10" s="5" t="inlineStr">
        <is>
          <t>43階</t>
        </is>
      </c>
      <c r="G10" s="6" t="n">
        <v>2</v>
      </c>
      <c r="H10" s="5" t="n">
        <v>26</v>
      </c>
      <c r="I10" s="5" t="n">
        <v>7</v>
      </c>
      <c r="J10" s="5" t="n">
        <v>13</v>
      </c>
      <c r="K10" s="5" t="inlineStr">
        <is>
          <t>北側一面に赤坂御所の緑を望む地上４３階建の４３階、専有２１８．１９ｍ２の３ＬＤＫ。２０２５年１月フルリノベーション完成、ＬＤＫ約５０．３帖。敷地内平置駐車場２台分の専用使用権付き。</t>
        </is>
      </c>
      <c r="L10" s="5" t="inlineStr">
        <is>
          <t>掲載写真が少ない（2枚）／図面に広告掲載の制限表記（承諾取得済みの前提）</t>
        </is>
      </c>
    </row>
    <row r="11" ht="62" customHeight="1">
      <c r="A11" s="4" t="inlineStr">
        <is>
          <t>05</t>
        </is>
      </c>
      <c r="B11" s="4" t="inlineStr">
        <is>
          <t>レフィール南麻布</t>
        </is>
      </c>
      <c r="C11" s="4" t="inlineStr">
        <is>
          <t>3-4階</t>
        </is>
      </c>
      <c r="D11" s="4" t="inlineStr">
        <is>
          <t>238000万円</t>
        </is>
      </c>
      <c r="E11" s="4" t="inlineStr">
        <is>
          <t>215.65㎡</t>
        </is>
      </c>
      <c r="F11" s="4" t="inlineStr">
        <is>
          <t>3階</t>
        </is>
      </c>
      <c r="G11" s="4" t="n">
        <v>52</v>
      </c>
      <c r="H11" s="4" t="n">
        <v>12</v>
      </c>
      <c r="I11" s="4" t="n">
        <v>7</v>
      </c>
      <c r="J11" s="4" t="n">
        <v>12</v>
      </c>
      <c r="K11" s="4" t="inlineStr">
        <is>
          <t>全１８戸・地上４階建の低層棟で、最上階を含む３・４階メゾネット２１５．６５ｍ２。北側に５２．５４ｍ２のルーフバルコニー。２０２６年６月内装リフォーム完成、住戸まで３重セキュリティ。</t>
        </is>
      </c>
      <c r="L11" s="4" t="inlineStr"/>
    </row>
    <row r="12" ht="62" customHeight="1">
      <c r="A12" s="5" t="inlineStr">
        <is>
          <t>06</t>
        </is>
      </c>
      <c r="B12" s="5" t="inlineStr">
        <is>
          <t>アークヒルズ仙石山レジデンス</t>
        </is>
      </c>
      <c r="C12" s="5" t="inlineStr">
        <is>
          <t>18階</t>
        </is>
      </c>
      <c r="D12" s="5" t="inlineStr">
        <is>
          <t>190000万円</t>
        </is>
      </c>
      <c r="E12" s="5" t="inlineStr">
        <is>
          <t>210.31㎡</t>
        </is>
      </c>
      <c r="F12" s="5" t="inlineStr">
        <is>
          <t>18階</t>
        </is>
      </c>
      <c r="G12" s="5" t="n">
        <v>49</v>
      </c>
      <c r="H12" s="5" t="n">
        <v>0</v>
      </c>
      <c r="I12" s="5" t="n">
        <v>10</v>
      </c>
      <c r="J12" s="5" t="n">
        <v>7</v>
      </c>
      <c r="K12" s="5" t="inlineStr">
        <is>
          <t>東京タワーを望む１８階の北東・南東角住戸、専有２１０．３１ｍ２の４ＬＤＫ。ＬＤ約３５．８帖、三面バルコニー、２バス・３トイレ。森ビル分譲・管理で２４時間有人管理、バイリンガル対応フロント。</t>
        </is>
      </c>
      <c r="L12" s="5" t="inlineStr"/>
    </row>
    <row r="13" ht="62" customHeight="1">
      <c r="A13" s="4" t="inlineStr">
        <is>
          <t>07</t>
        </is>
      </c>
      <c r="B13" s="4" t="inlineStr">
        <is>
          <t>元麻布ヒルズフォレストタワー</t>
        </is>
      </c>
      <c r="C13" s="4" t="inlineStr">
        <is>
          <t>24階</t>
        </is>
      </c>
      <c r="D13" s="4" t="inlineStr">
        <is>
          <t>208000万円</t>
        </is>
      </c>
      <c r="E13" s="4" t="inlineStr">
        <is>
          <t>198.64㎡</t>
        </is>
      </c>
      <c r="F13" s="4" t="inlineStr">
        <is>
          <t>24階</t>
        </is>
      </c>
      <c r="G13" s="6" t="n">
        <v>3</v>
      </c>
      <c r="H13" s="4" t="n">
        <v>7</v>
      </c>
      <c r="I13" s="4" t="n">
        <v>7</v>
      </c>
      <c r="J13" s="4" t="n">
        <v>6</v>
      </c>
      <c r="K13" s="4" t="inlineStr">
        <is>
          <t>３方向にバルコニーを持つ専有１９８．６４㎡の２４階。ＬＤＫ約３９．９帖、主寝室約１８．１帖、浴室２か所。森ビル管理の免震タワーで、２４時間バイリンガル対応のフロントとドアマンが常駐。</t>
        </is>
      </c>
      <c r="L13" s="4" t="inlineStr">
        <is>
          <t>掲載写真が少ない（3枚）</t>
        </is>
      </c>
    </row>
    <row r="14" ht="62" customHeight="1">
      <c r="A14" s="5" t="inlineStr">
        <is>
          <t>08</t>
        </is>
      </c>
      <c r="B14" s="5" t="inlineStr">
        <is>
          <t>元麻布ヒルズ フォレストテラスイースト</t>
        </is>
      </c>
      <c r="C14" s="5" t="inlineStr">
        <is>
          <t>3階</t>
        </is>
      </c>
      <c r="D14" s="5" t="inlineStr">
        <is>
          <t>150000万円</t>
        </is>
      </c>
      <c r="E14" s="5" t="inlineStr">
        <is>
          <t>191.91㎡</t>
        </is>
      </c>
      <c r="F14" s="5" t="inlineStr">
        <is>
          <t>3階</t>
        </is>
      </c>
      <c r="G14" s="6" t="n">
        <v>4</v>
      </c>
      <c r="H14" s="5" t="n">
        <v>0</v>
      </c>
      <c r="I14" s="5" t="n">
        <v>5</v>
      </c>
      <c r="J14" s="5" t="n">
        <v>11</v>
      </c>
      <c r="K14" s="5" t="inlineStr">
        <is>
          <t>総戸数１９戸・地上５階の低層棟３階、南東向き専有１９１．９１㎡。ＬＤ約３２．７帖は２面バルコニーに面し、窓の外に敷地の緑。森ビルの２４時間有人管理とドアマン。２バス３トイレ、各寝室にＷＩＣ。</t>
        </is>
      </c>
      <c r="L14" s="5" t="inlineStr">
        <is>
          <t>掲載写真が少ない（4枚）</t>
        </is>
      </c>
    </row>
    <row r="15" ht="62" customHeight="1">
      <c r="A15" s="4" t="inlineStr">
        <is>
          <t>09</t>
        </is>
      </c>
      <c r="B15" s="4" t="inlineStr">
        <is>
          <t>パークコート虎ノ門愛宕タワー</t>
        </is>
      </c>
      <c r="C15" s="4" t="inlineStr">
        <is>
          <t>29-30階</t>
        </is>
      </c>
      <c r="D15" s="4" t="inlineStr">
        <is>
          <t>140000万円</t>
        </is>
      </c>
      <c r="E15" s="4" t="inlineStr">
        <is>
          <t>183.36㎡</t>
        </is>
      </c>
      <c r="F15" s="4" t="inlineStr">
        <is>
          <t>29・30階</t>
        </is>
      </c>
      <c r="G15" s="4" t="n">
        <v>10</v>
      </c>
      <c r="H15" s="4" t="n">
        <v>34</v>
      </c>
      <c r="I15" s="4" t="n">
        <v>3</v>
      </c>
      <c r="J15" s="4" t="n">
        <v>12</v>
      </c>
      <c r="K15" s="4" t="inlineStr">
        <is>
          <t>最上階を含む２９・３０階メゾネット、南東・北東の角住戸。ＬＤ約４０．３帖は吹き抜け天井高約６，０３０ｍｍ。ルーフバルコニー２５．７２㎡、大型ハイルーフ駐車場の専用使用権付き。神谷町駅徒歩４分。</t>
        </is>
      </c>
      <c r="L15" s="4" t="inlineStr"/>
    </row>
    <row r="16" ht="62" customHeight="1">
      <c r="A16" s="5" t="inlineStr">
        <is>
          <t>10</t>
        </is>
      </c>
      <c r="B16" s="5" t="inlineStr">
        <is>
          <t>東京ツインパークス</t>
        </is>
      </c>
      <c r="C16" s="5" t="inlineStr">
        <is>
          <t>レフトウィング4603号室</t>
        </is>
      </c>
      <c r="D16" s="5" t="inlineStr">
        <is>
          <t>99999万円</t>
        </is>
      </c>
      <c r="E16" s="5" t="inlineStr">
        <is>
          <t>183.19㎡</t>
        </is>
      </c>
      <c r="F16" s="5" t="inlineStr">
        <is>
          <t>46階</t>
        </is>
      </c>
      <c r="G16" s="5" t="n">
        <v>40</v>
      </c>
      <c r="H16" s="5" t="n">
        <v>0</v>
      </c>
      <c r="I16" s="5" t="n">
        <v>6</v>
      </c>
      <c r="J16" s="5" t="n">
        <v>9</v>
      </c>
      <c r="K16" s="5" t="inlineStr">
        <is>
          <t>東京タワーを正面に望む四十六階の南西・北西角住戸。専有一八三．一九㎡、約四十四帖のＬＤＫを持つ二ＬＤＫ。ザ・スカイハウス専用使用権と平置き付設駐車場付き。二十四時間有人管理、汐留駅徒歩二分。</t>
        </is>
      </c>
      <c r="L16" s="5" t="inlineStr"/>
    </row>
    <row r="17" ht="62" customHeight="1">
      <c r="A17" s="4" t="inlineStr">
        <is>
          <t>11</t>
        </is>
      </c>
      <c r="B17" s="4" t="inlineStr">
        <is>
          <t>乃木坂パークハウス</t>
        </is>
      </c>
      <c r="C17" s="4" t="inlineStr">
        <is>
          <t>21階</t>
        </is>
      </c>
      <c r="D17" s="4" t="inlineStr">
        <is>
          <t>98000万円</t>
        </is>
      </c>
      <c r="E17" s="4" t="inlineStr">
        <is>
          <t>176.87㎡</t>
        </is>
      </c>
      <c r="F17" s="4" t="inlineStr">
        <is>
          <t>21階</t>
        </is>
      </c>
      <c r="G17" s="4" t="n">
        <v>45</v>
      </c>
      <c r="H17" s="4" t="n">
        <v>1</v>
      </c>
      <c r="I17" s="4" t="n">
        <v>4</v>
      </c>
      <c r="J17" s="4" t="n">
        <v>10</v>
      </c>
      <c r="K17" s="4" t="inlineStr">
        <is>
          <t>二十一階はワンフロア一住戸、四方すべてが外に面する角住戸。専有一七六．八七㎡の三ＬＤＫに玄関と浴室が二つずつ。四方向のバルコニーから都心と緑を望む。総戸数四十二戸、乃木坂駅徒歩二分。</t>
        </is>
      </c>
      <c r="L17" s="4" t="inlineStr">
        <is>
          <t>図面に広告掲載の制限表記（承諾取得済みの前提）</t>
        </is>
      </c>
    </row>
    <row r="18" ht="62" customHeight="1">
      <c r="A18" s="5" t="inlineStr">
        <is>
          <t>12</t>
        </is>
      </c>
      <c r="B18" s="5" t="inlineStr">
        <is>
          <t>HIKAWA GARDENS AKASAKA</t>
        </is>
      </c>
      <c r="C18" s="5" t="inlineStr">
        <is>
          <t>1階</t>
        </is>
      </c>
      <c r="D18" s="5" t="inlineStr">
        <is>
          <t>97800万円</t>
        </is>
      </c>
      <c r="E18" s="5" t="inlineStr">
        <is>
          <t>174.28㎡</t>
        </is>
      </c>
      <c r="F18" s="5" t="inlineStr">
        <is>
          <t>1階</t>
        </is>
      </c>
      <c r="G18" s="5" t="n">
        <v>9</v>
      </c>
      <c r="H18" s="5" t="n">
        <v>7</v>
      </c>
      <c r="I18" s="5" t="n">
        <v>4</v>
      </c>
      <c r="J18" s="5" t="n">
        <v>11</v>
      </c>
      <c r="K18" s="5" t="inlineStr">
        <is>
          <t>二か所のテラス（計三十五．〇五㎡）と約三十九．三帖のＬＤＫを持つ一階の三ＬＤＫ。総戸数十七戸の低層棟を平成三十年に一棟リノベーション。浴室二か所、屋内平置き駐車場の専用使用権付き。</t>
        </is>
      </c>
      <c r="L18" s="5" t="inlineStr">
        <is>
          <t>図面に広告掲載の制限表記（承諾取得済みの前提）</t>
        </is>
      </c>
    </row>
    <row r="19" ht="62" customHeight="1">
      <c r="A19" s="4" t="inlineStr">
        <is>
          <t>13</t>
        </is>
      </c>
      <c r="B19" s="4" t="inlineStr">
        <is>
          <t>虎ノ門ヒルズ レジデンシャルタワー</t>
        </is>
      </c>
      <c r="C19" s="4" t="inlineStr">
        <is>
          <t>29階</t>
        </is>
      </c>
      <c r="D19" s="4" t="inlineStr">
        <is>
          <t>165000万円</t>
        </is>
      </c>
      <c r="E19" s="4" t="inlineStr">
        <is>
          <t>170.97㎡</t>
        </is>
      </c>
      <c r="F19" s="4" t="inlineStr">
        <is>
          <t>29階</t>
        </is>
      </c>
      <c r="G19" s="4" t="n">
        <v>7</v>
      </c>
      <c r="H19" s="4" t="n">
        <v>0</v>
      </c>
      <c r="I19" s="4" t="n">
        <v>5</v>
      </c>
      <c r="J19" s="4" t="n">
        <v>12</v>
      </c>
      <c r="K19" s="4" t="inlineStr">
        <is>
          <t>２９階北西角、専有１７０．９７㎡の２ＬＤＫ＋ＷＩＣ。二面が窓のＬＤ約４０．４帖、二つの寝室それぞれに専用の浴室とトイレ。森ビル開発・管理、２４時間バイリンガルフロント、虎ノ門ヒルズ駅徒歩２分。</t>
        </is>
      </c>
      <c r="L19" s="4" t="inlineStr"/>
    </row>
    <row r="20" ht="62" customHeight="1">
      <c r="A20" s="5" t="inlineStr">
        <is>
          <t>14</t>
        </is>
      </c>
      <c r="B20" s="5" t="inlineStr">
        <is>
          <t>リビオタワー品川</t>
        </is>
      </c>
      <c r="C20" s="5" t="inlineStr">
        <is>
          <t>34階</t>
        </is>
      </c>
      <c r="D20" s="5" t="inlineStr">
        <is>
          <t>63500万円</t>
        </is>
      </c>
      <c r="E20" s="5" t="inlineStr">
        <is>
          <t>130.24㎡</t>
        </is>
      </c>
      <c r="F20" s="5" t="inlineStr">
        <is>
          <t>34階</t>
        </is>
      </c>
      <c r="G20" s="5" t="n">
        <v>39</v>
      </c>
      <c r="H20" s="5" t="n">
        <v>0</v>
      </c>
      <c r="I20" s="5" t="n">
        <v>4</v>
      </c>
      <c r="J20" s="5" t="n">
        <v>19</v>
      </c>
      <c r="K20" s="5" t="inlineStr">
        <is>
          <t>上階に住戸のない最上階３４階、全１５邸のプレミアムフロアの角住戸。天井高約２．９ｍ・約２５．５帖のＬＤからレインボーブリッジと東京湾を望む１３０．２４㎡の３ＬＤＫ。免震構造、未入居。</t>
        </is>
      </c>
      <c r="L20" s="5" t="inlineStr">
        <is>
          <t>図面に広告掲載の制限表記（承諾取得済みの前提）</t>
        </is>
      </c>
    </row>
    <row r="21" ht="62" customHeight="1">
      <c r="A21" s="4" t="inlineStr">
        <is>
          <t>15</t>
        </is>
      </c>
      <c r="B21" s="4" t="inlineStr">
        <is>
          <t>パークコート北青山</t>
        </is>
      </c>
      <c r="C21" s="4" t="inlineStr">
        <is>
          <t>5階</t>
        </is>
      </c>
      <c r="D21" s="4" t="inlineStr">
        <is>
          <t>59800万円</t>
        </is>
      </c>
      <c r="E21" s="4" t="inlineStr">
        <is>
          <t>111.73㎡</t>
        </is>
      </c>
      <c r="F21" s="4" t="inlineStr">
        <is>
          <t>5階</t>
        </is>
      </c>
      <c r="G21" s="4" t="n">
        <v>79</v>
      </c>
      <c r="H21" s="4" t="n">
        <v>14</v>
      </c>
      <c r="I21" s="4" t="n">
        <v>3</v>
      </c>
      <c r="J21" s="4" t="n">
        <v>10</v>
      </c>
      <c r="K21" s="4" t="inlineStr">
        <is>
          <t>総戸数２８戸・地上１０階建、築後未入居の５階角住戸。曲面の窓に沿うＬＤＫ約２７．７帖、専有１１１．７３㎡の３ＬＤＫ。顔認証の住戸ドア解除、床暖房６箇所。三井不動産レジデンシャル分譲。</t>
        </is>
      </c>
      <c r="L21" s="4" t="inlineStr"/>
    </row>
    <row r="22">
      <c r="F22" s="7" t="inlineStr">
        <is>
          <t>合計</t>
        </is>
      </c>
      <c r="G22" s="7">
        <f>SUM(G5:G21)</f>
        <v/>
      </c>
      <c r="H22" s="7">
        <f>SUM(H5:H21)</f>
        <v/>
      </c>
      <c r="I22" s="7">
        <f>SUM(I5:I21)</f>
        <v/>
      </c>
      <c r="J22" s="7">
        <f>SUM(J5:J21)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4" customWidth="1" min="3" max="3"/>
    <col width="18" customWidth="1" min="4" max="4"/>
    <col width="110" customWidth="1" min="5" max="5"/>
  </cols>
  <sheetData>
    <row r="1">
      <c r="A1" s="8" t="inlineStr">
        <is>
          <t>No</t>
        </is>
      </c>
      <c r="B1" s="8" t="inlineStr">
        <is>
          <t>マンション</t>
        </is>
      </c>
      <c r="C1" s="8" t="inlineStr">
        <is>
          <t>住戸</t>
        </is>
      </c>
      <c r="D1" s="8" t="inlineStr">
        <is>
          <t>区分</t>
        </is>
      </c>
      <c r="E1" s="8" t="inlineStr">
        <is>
          <t>内容</t>
        </is>
      </c>
    </row>
    <row r="2">
      <c r="A2" s="9" t="inlineStr">
        <is>
          <t>01</t>
        </is>
      </c>
      <c r="B2" s="9" t="inlineStr">
        <is>
          <t>高輪ザ・レジデンス</t>
        </is>
      </c>
      <c r="C2" s="9" t="inlineStr">
        <is>
          <t>43階</t>
        </is>
      </c>
      <c r="D2" s="9" t="inlineStr">
        <is>
          <t>数値（図面値で入力）</t>
        </is>
      </c>
      <c r="E2" s="9" t="inlineStr">
        <is>
          <t>【数値・図面値で入力】高輪台：この住戸の元付図面A-p08の6分で入力（他の値：7分＝A-p01・A-p04・A-p05・A-p06）。</t>
        </is>
      </c>
    </row>
    <row r="3">
      <c r="A3" s="9" t="inlineStr">
        <is>
          <t>01</t>
        </is>
      </c>
      <c r="B3" s="9" t="inlineStr">
        <is>
          <t>高輪ザ・レジデンス</t>
        </is>
      </c>
      <c r="C3" s="9" t="inlineStr">
        <is>
          <t>43階</t>
        </is>
      </c>
      <c r="D3" s="9" t="inlineStr">
        <is>
          <t>数値（図面値で入力）</t>
        </is>
      </c>
      <c r="E3" s="9" t="inlineStr">
        <is>
          <t>【数値・図面値で入力】品川：A-p08の15分で入力（他の値：16分＝東京建物ライブラリー）。</t>
        </is>
      </c>
    </row>
    <row r="4">
      <c r="A4" s="9" t="inlineStr">
        <is>
          <t>01</t>
        </is>
      </c>
      <c r="B4" s="9" t="inlineStr">
        <is>
          <t>高輪ザ・レジデンス</t>
        </is>
      </c>
      <c r="C4" s="9" t="inlineStr">
        <is>
          <t>43階</t>
        </is>
      </c>
      <c r="D4" s="9" t="inlineStr">
        <is>
          <t>数値（図面値で入力）</t>
        </is>
      </c>
      <c r="E4" s="9" t="inlineStr">
        <is>
          <t>【数値・図面値で入力】泉岳寺：同建物A-p01の15分で入力（他の値：12分＝東京建物ライブラリー）。A-p08に記載なし。</t>
        </is>
      </c>
    </row>
    <row r="5">
      <c r="A5" s="9" t="inlineStr">
        <is>
          <t>01</t>
        </is>
      </c>
      <c r="B5" s="9" t="inlineStr">
        <is>
          <t>高輪ザ・レジデンス</t>
        </is>
      </c>
      <c r="C5" s="9" t="inlineStr">
        <is>
          <t>43階</t>
        </is>
      </c>
      <c r="D5" s="9" t="inlineStr">
        <is>
          <t>数値（図面値で入力）</t>
        </is>
      </c>
      <c r="E5" s="9" t="inlineStr">
        <is>
          <t>【数値・図面値で入力】白金台・高輪ゲートウェイ：A-p08に記載がないため、同建物の図面のうち長いほうの値（白金台10分＝A-p01／他の値：8分＝A-p02・A-p04・A-p05、高輪ゲートウェイ16分＝A-p01／他の値：14分＝A-p02、11分＝A-p06）で入力。</t>
        </is>
      </c>
    </row>
    <row r="6">
      <c r="A6" s="9" t="inlineStr">
        <is>
          <t>01</t>
        </is>
      </c>
      <c r="B6" s="9" t="inlineStr">
        <is>
          <t>高輪ザ・レジデンス</t>
        </is>
      </c>
      <c r="C6" s="9" t="inlineStr">
        <is>
          <t>43階</t>
        </is>
      </c>
      <c r="D6" s="9" t="inlineStr">
        <is>
          <t>数値（図面値で入力）</t>
        </is>
      </c>
      <c r="E6" s="9" t="inlineStr">
        <is>
          <t>【数値・図面値で入力】駐車場：A-p08に記載なし。同建物A-p02の「有・月額35,000〜65,000円」で入力。空き状況は管理会社に確認。掲載文は「空き状況はお問い合わせください」とした。</t>
        </is>
      </c>
    </row>
    <row r="7">
      <c r="A7" s="9" t="inlineStr">
        <is>
          <t>01</t>
        </is>
      </c>
      <c r="B7" s="9" t="inlineStr">
        <is>
          <t>高輪ザ・レジデンス</t>
        </is>
      </c>
      <c r="C7" s="9" t="inlineStr">
        <is>
          <t>43階</t>
        </is>
      </c>
      <c r="D7" s="9" t="inlineStr">
        <is>
          <t>数値（図面値で入力）</t>
        </is>
      </c>
      <c r="E7" s="9" t="inlineStr">
        <is>
          <t>【数値・図面値で入力】月額合計：161,295円（A-p08の記載項目の合計。図面に合計の記載なし）。特定階負担金の有無は不明（44階以上の住戸にはあり）。ケン43階HPは「その他費用なし」。</t>
        </is>
      </c>
    </row>
    <row r="8">
      <c r="A8" s="9" t="inlineStr">
        <is>
          <t>01</t>
        </is>
      </c>
      <c r="B8" s="9" t="inlineStr">
        <is>
          <t>高輪ザ・レジデンス</t>
        </is>
      </c>
      <c r="C8" s="9" t="inlineStr">
        <is>
          <t>43階</t>
        </is>
      </c>
      <c r="D8" s="9" t="inlineStr">
        <is>
          <t>数値（図面値で入力）</t>
        </is>
      </c>
      <c r="E8" s="9" t="inlineStr">
        <is>
          <t>【数値・図面値で入力】専有面積の壁芯／登記の別：A-p08に記載なし（RMのSUUMO掲載は「登記」、タカマツハウス・HOME'Sは「壁芯」）。値は図面の224.19㎡。</t>
        </is>
      </c>
    </row>
    <row r="9">
      <c r="A9" s="9" t="inlineStr">
        <is>
          <t>01</t>
        </is>
      </c>
      <c r="B9" s="9" t="inlineStr">
        <is>
          <t>高輪ザ・レジデンス</t>
        </is>
      </c>
      <c r="C9" s="9" t="inlineStr">
        <is>
          <t>43階</t>
        </is>
      </c>
      <c r="D9" s="9" t="inlineStr">
        <is>
          <t>数値（図面値で入力）</t>
        </is>
      </c>
      <c r="E9" s="9" t="inlineStr">
        <is>
          <t>【数値・図面値で入力】総戸数：574戸（全図面）で入力（他の値：575戸＝東京建物ライブラリー）。</t>
        </is>
      </c>
    </row>
    <row r="10">
      <c r="A10" s="9" t="inlineStr">
        <is>
          <t>01</t>
        </is>
      </c>
      <c r="B10" s="9" t="inlineStr">
        <is>
          <t>高輪ザ・レジデンス</t>
        </is>
      </c>
      <c r="C10" s="9" t="inlineStr">
        <is>
          <t>43階</t>
        </is>
      </c>
      <c r="D10" s="9" t="inlineStr">
        <is>
          <t>文言</t>
        </is>
      </c>
      <c r="E10" s="9" t="inlineStr">
        <is>
          <t>【文言】リフォーム時期：A-p08は「フルリノベーション済」のみ／ケン43階HP・RMのHOME'S掲載「2025年12月実施」。図面に時期がないため掲載文は「フルリノベーション済」のみ。</t>
        </is>
      </c>
    </row>
    <row r="11">
      <c r="A11" s="9" t="inlineStr">
        <is>
          <t>01</t>
        </is>
      </c>
      <c r="B11" s="9" t="inlineStr">
        <is>
          <t>高輪ザ・レジデンス</t>
        </is>
      </c>
      <c r="C11" s="9" t="inlineStr">
        <is>
          <t>43階</t>
        </is>
      </c>
      <c r="D11" s="9" t="inlineStr">
        <is>
          <t>文言</t>
        </is>
      </c>
      <c r="E11" s="9" t="inlineStr">
        <is>
          <t>【文言】向き：西（ケン43階HP・RMのHOME'S掲載）。図面に向きの記載なし。</t>
        </is>
      </c>
    </row>
    <row r="12">
      <c r="A12" s="9" t="inlineStr">
        <is>
          <t>01</t>
        </is>
      </c>
      <c r="B12" s="9" t="inlineStr">
        <is>
          <t>高輪ザ・レジデンス</t>
        </is>
      </c>
      <c r="C12" s="9" t="inlineStr">
        <is>
          <t>43階</t>
        </is>
      </c>
      <c r="D12" s="9" t="inlineStr">
        <is>
          <t>文言</t>
        </is>
      </c>
      <c r="E12" s="9" t="inlineStr">
        <is>
          <t>【文言】間取り表記：3LDK＋DEN＋4S＋3WIC＋SIC（A-p08）／3LDK＋S（ケン43階HP）。A-p08の表記を入れた。</t>
        </is>
      </c>
    </row>
    <row r="13">
      <c r="A13" s="9" t="inlineStr">
        <is>
          <t>01</t>
        </is>
      </c>
      <c r="B13" s="9" t="inlineStr">
        <is>
          <t>高輪ザ・レジデンス</t>
        </is>
      </c>
      <c r="C13" s="9" t="inlineStr">
        <is>
          <t>43階</t>
        </is>
      </c>
      <c r="D13" s="9" t="inlineStr">
        <is>
          <t>文言</t>
        </is>
      </c>
      <c r="E13" s="9" t="inlineStr">
        <is>
          <t>【文言】A-p08の図面に「広告掲載不可」の表記。依頼者は承諾取得済との指示。</t>
        </is>
      </c>
    </row>
    <row r="14">
      <c r="A14" s="9" t="inlineStr">
        <is>
          <t>01</t>
        </is>
      </c>
      <c r="B14" s="9" t="inlineStr">
        <is>
          <t>高輪ザ・レジデンス</t>
        </is>
      </c>
      <c r="C14" s="9" t="inlineStr">
        <is>
          <t>43階</t>
        </is>
      </c>
      <c r="D14" s="9" t="inlineStr">
        <is>
          <t>文言</t>
        </is>
      </c>
      <c r="E14" s="9" t="inlineStr">
        <is>
          <t>【文言】A-p08の特記「外国籍の方の内覧は事前に資金証明の提出が必要」を備考・アピールに記載した。</t>
        </is>
      </c>
    </row>
    <row r="15">
      <c r="A15" s="9" t="inlineStr">
        <is>
          <t>01</t>
        </is>
      </c>
      <c r="B15" s="9" t="inlineStr">
        <is>
          <t>高輪ザ・レジデンス</t>
        </is>
      </c>
      <c r="C15" s="9" t="inlineStr">
        <is>
          <t>43階</t>
        </is>
      </c>
      <c r="D15" s="9" t="inlineStr">
        <is>
          <t>文言</t>
        </is>
      </c>
      <c r="E15" s="9" t="inlineStr">
        <is>
          <t>【文言】用途地域：A-p08は「商業地域」のみ。港区用途地域図・A-p04の3種（商業・第一種住居・近隣商業）で入力。面積按分は重説で確認。</t>
        </is>
      </c>
    </row>
    <row r="16">
      <c r="A16" s="9" t="inlineStr">
        <is>
          <t>01</t>
        </is>
      </c>
      <c r="B16" s="9" t="inlineStr">
        <is>
          <t>高輪ザ・レジデンス</t>
        </is>
      </c>
      <c r="C16" s="9" t="inlineStr">
        <is>
          <t>43階</t>
        </is>
      </c>
      <c r="D16" s="9" t="inlineStr">
        <is>
          <t>文言</t>
        </is>
      </c>
      <c r="E16" s="9" t="inlineStr">
        <is>
          <t>【文言】写真の転載範囲：43階の元付はRMパートナーズのみ。RMのHP由来と販売図面A-p08由来だけを images に入れた。間取図は A-p08 から切り出した 43階/間取図/02_間取図_販売図面.jpg に差し替え。ケン・コーポレーションHP由来の間取図・眺望（元付外）と、同じ建物の他住戸の元付（野村・東急リバブル・サザビーズ・ケン）HP由来の共用部写真24枚は images_pending_permission に移した。</t>
        </is>
      </c>
    </row>
    <row r="17">
      <c r="A17" s="9" t="inlineStr">
        <is>
          <t>01</t>
        </is>
      </c>
      <c r="B17" s="9" t="inlineStr">
        <is>
          <t>高輪ザ・レジデンス</t>
        </is>
      </c>
      <c r="C17" s="9" t="inlineStr">
        <is>
          <t>43階</t>
        </is>
      </c>
      <c r="D17" s="9" t="inlineStr">
        <is>
          <t>文言</t>
        </is>
      </c>
      <c r="E17" s="9" t="inlineStr">
        <is>
          <t>【文言】その結果、許可済み写真に外観・共用部・眺望の写真がない。1枚目はLDKにした。外観・共用部を載せる場合は、RMパートナーズに写真提供を依頼するか、他住戸の元付に転載範囲を確認。</t>
        </is>
      </c>
    </row>
    <row r="18">
      <c r="A18" s="9" t="inlineStr">
        <is>
          <t>01</t>
        </is>
      </c>
      <c r="B18" s="9" t="inlineStr">
        <is>
          <t>高輪ザ・レジデンス</t>
        </is>
      </c>
      <c r="C18" s="9" t="inlineStr">
        <is>
          <t>43階</t>
        </is>
      </c>
      <c r="D18" s="9" t="inlineStr">
        <is>
          <t>文言</t>
        </is>
      </c>
      <c r="E18" s="9" t="inlineStr">
        <is>
          <t>【文言】43階/_参考_リフォーム前/01_間取図_リフォーム前.jpg は現況と異なる（2011年の賃貸募集時）ため、images・要許可のどちらにも入れていない。</t>
        </is>
      </c>
    </row>
    <row r="19">
      <c r="A19" s="9" t="inlineStr">
        <is>
          <t>01</t>
        </is>
      </c>
      <c r="B19" s="9" t="inlineStr">
        <is>
          <t>高輪ザ・レジデンス</t>
        </is>
      </c>
      <c r="C19" s="9" t="inlineStr">
        <is>
          <t>43階</t>
        </is>
      </c>
      <c r="D19" s="9" t="inlineStr">
        <is>
          <t>文言</t>
        </is>
      </c>
      <c r="E19" s="9" t="inlineStr">
        <is>
          <t>【文言】富士山が写った眺望写真はない。バルコニー写真のコメントで「天候により富士山を望めます」と表現。</t>
        </is>
      </c>
    </row>
    <row r="20">
      <c r="A20" s="9" t="inlineStr">
        <is>
          <t>01</t>
        </is>
      </c>
      <c r="B20" s="9" t="inlineStr">
        <is>
          <t>高輪ザ・レジデンス</t>
        </is>
      </c>
      <c r="C20" s="9" t="inlineStr">
        <is>
          <t>43階</t>
        </is>
      </c>
      <c r="D20" s="9" t="inlineStr">
        <is>
          <t>推測入力</t>
        </is>
      </c>
      <c r="E20" s="9" t="inlineStr">
        <is>
          <t>写真12・13の洋室がどちら（洋室(1)(2)・DEN）に当たるかは特定できないため、いずれも「洋室(21)」とした。</t>
        </is>
      </c>
    </row>
    <row r="21">
      <c r="A21" s="9" t="inlineStr">
        <is>
          <t>01</t>
        </is>
      </c>
      <c r="B21" s="9" t="inlineStr">
        <is>
          <t>高輪ザ・レジデンス</t>
        </is>
      </c>
      <c r="C21" s="9" t="inlineStr">
        <is>
          <t>43階</t>
        </is>
      </c>
      <c r="D21" s="9" t="inlineStr">
        <is>
          <t>推測入力</t>
        </is>
      </c>
      <c r="E21" s="9" t="inlineStr">
        <is>
          <t>写真15・16は棚だけの部屋のため「収納(12)」とし、16を「納戸」と表現した（図面の4Sのどれかは特定不可）。</t>
        </is>
      </c>
    </row>
    <row r="22">
      <c r="A22" s="9" t="inlineStr">
        <is>
          <t>01</t>
        </is>
      </c>
      <c r="B22" s="9" t="inlineStr">
        <is>
          <t>高輪ザ・レジデンス</t>
        </is>
      </c>
      <c r="C22" s="9" t="inlineStr">
        <is>
          <t>43階</t>
        </is>
      </c>
      <c r="D22" s="9" t="inlineStr">
        <is>
          <t>推測入力</t>
        </is>
      </c>
      <c r="E22" s="9" t="inlineStr">
        <is>
          <t>写真09（シンク・冷蔵設備）はバーカウンター裏の作業スペースと判断し「キッチン(5)」とした。</t>
        </is>
      </c>
    </row>
    <row r="23">
      <c r="A23" s="9" t="inlineStr">
        <is>
          <t>01</t>
        </is>
      </c>
      <c r="B23" s="9" t="inlineStr">
        <is>
          <t>高輪ザ・レジデンス</t>
        </is>
      </c>
      <c r="C23" s="9" t="inlineStr">
        <is>
          <t>43階</t>
        </is>
      </c>
      <c r="D23" s="9" t="inlineStr">
        <is>
          <t>推測入力</t>
        </is>
      </c>
      <c r="E23" s="9" t="inlineStr">
        <is>
          <t>写真24を「2か所目の玄関」とした（A-p08の平面図に玄関が2か所）。写真25（廊下）・26（ホール）は「その他内観(38)」。</t>
        </is>
      </c>
    </row>
    <row r="24">
      <c r="A24" s="9" t="inlineStr">
        <is>
          <t>01</t>
        </is>
      </c>
      <c r="B24" s="9" t="inlineStr">
        <is>
          <t>高輪ザ・レジデンス</t>
        </is>
      </c>
      <c r="C24" s="9" t="inlineStr">
        <is>
          <t>43階</t>
        </is>
      </c>
      <c r="D24" s="9" t="inlineStr">
        <is>
          <t>推測入力</t>
        </is>
      </c>
      <c r="E24" s="9" t="inlineStr">
        <is>
          <t>設備チェック「システムキッチン」「カウンターキッチン」「アイランドキッチン」は写真からの判断。</t>
        </is>
      </c>
    </row>
    <row r="25">
      <c r="A25" s="9" t="inlineStr">
        <is>
          <t>01</t>
        </is>
      </c>
      <c r="B25" s="9" t="inlineStr">
        <is>
          <t>高輪ザ・レジデンス</t>
        </is>
      </c>
      <c r="C25" s="9" t="inlineStr">
        <is>
          <t>43階</t>
        </is>
      </c>
      <c r="D25" s="9" t="inlineStr">
        <is>
          <t>推測入力</t>
        </is>
      </c>
      <c r="E25" s="9" t="inlineStr">
        <is>
          <t>1枚目（物件の顔）は、許可済みの外観写真がないためLDK（写真01）にした。</t>
        </is>
      </c>
    </row>
    <row r="26">
      <c r="A26" s="9" t="inlineStr">
        <is>
          <t>01</t>
        </is>
      </c>
      <c r="B26" s="9" t="inlineStr">
        <is>
          <t>高輪ザ・レジデンス</t>
        </is>
      </c>
      <c r="C26" s="9" t="inlineStr">
        <is>
          <t>43階</t>
        </is>
      </c>
      <c r="D26" s="9" t="inlineStr">
        <is>
          <t>推測入力</t>
        </is>
      </c>
      <c r="E26" s="9" t="inlineStr">
        <is>
          <t>コメントの表現（暮らしのイメージ部分）は写真と図面からの推測を含む。</t>
        </is>
      </c>
    </row>
    <row r="27">
      <c r="A27" s="9" t="inlineStr">
        <is>
          <t>01</t>
        </is>
      </c>
      <c r="B27" s="9" t="inlineStr">
        <is>
          <t>高輪ザ・レジデンス</t>
        </is>
      </c>
      <c r="C27" s="9" t="inlineStr">
        <is>
          <t>44階</t>
        </is>
      </c>
      <c r="D27" s="9" t="inlineStr">
        <is>
          <t>数値（図面値で入力）</t>
        </is>
      </c>
      <c r="E27" s="9" t="inlineStr">
        <is>
          <t>【数値・図面値で入力】白金台：この住戸の元付図面A-p04・A-p05の8分で入力（他の値：10分＝A-p01・東京建物ライブラリー）。</t>
        </is>
      </c>
    </row>
    <row r="28">
      <c r="A28" s="9" t="inlineStr">
        <is>
          <t>01</t>
        </is>
      </c>
      <c r="B28" s="9" t="inlineStr">
        <is>
          <t>高輪ザ・レジデンス</t>
        </is>
      </c>
      <c r="C28" s="9" t="inlineStr">
        <is>
          <t>44階</t>
        </is>
      </c>
      <c r="D28" s="9" t="inlineStr">
        <is>
          <t>数値（図面値で入力）</t>
        </is>
      </c>
      <c r="E28" s="9" t="inlineStr">
        <is>
          <t>【数値・図面値で入力】高輪ゲートウェイ：この住戸の元付図面A-p06の11分で入力（他の値：16分＝A-p01、14分＝A-p02）。</t>
        </is>
      </c>
    </row>
    <row r="29">
      <c r="A29" s="9" t="inlineStr">
        <is>
          <t>01</t>
        </is>
      </c>
      <c r="B29" s="9" t="inlineStr">
        <is>
          <t>高輪ザ・レジデンス</t>
        </is>
      </c>
      <c r="C29" s="9" t="inlineStr">
        <is>
          <t>44階</t>
        </is>
      </c>
      <c r="D29" s="9" t="inlineStr">
        <is>
          <t>数値（図面値で入力）</t>
        </is>
      </c>
      <c r="E29" s="9" t="inlineStr">
        <is>
          <t>【数値・図面値で入力】高輪台7分・白金高輪9分：この住戸の元付図面（A-p04〜A-p06）の値。泉岳寺・品川はこの住戸の図面に記載がないため入力していない。</t>
        </is>
      </c>
    </row>
    <row r="30">
      <c r="A30" s="9" t="inlineStr">
        <is>
          <t>01</t>
        </is>
      </c>
      <c r="B30" s="9" t="inlineStr">
        <is>
          <t>高輪ザ・レジデンス</t>
        </is>
      </c>
      <c r="C30" s="9" t="inlineStr">
        <is>
          <t>44階</t>
        </is>
      </c>
      <c r="D30" s="9" t="inlineStr">
        <is>
          <t>数値（図面値で入力）</t>
        </is>
      </c>
      <c r="E30" s="9" t="inlineStr">
        <is>
          <t>【数値・図面値で入力】駐車場：この住戸のA-p06は「確認中」。同建物A-p02の「有・月額35,000〜65,000円」で入力。空き状況は管理会社に確認。掲載文は「空き状況はお問い合わせください」とした。</t>
        </is>
      </c>
    </row>
    <row r="31">
      <c r="A31" s="9" t="inlineStr">
        <is>
          <t>01</t>
        </is>
      </c>
      <c r="B31" s="9" t="inlineStr">
        <is>
          <t>高輪ザ・レジデンス</t>
        </is>
      </c>
      <c r="C31" s="9" t="inlineStr">
        <is>
          <t>44階</t>
        </is>
      </c>
      <c r="D31" s="9" t="inlineStr">
        <is>
          <t>数値（図面値で入力）</t>
        </is>
      </c>
      <c r="E31" s="9" t="inlineStr">
        <is>
          <t>【数値・図面値で入力】敷地共有持分：26,194／4,808,035（A-p06）で入力（他の値：20,879／4,808,035＝A-p05）。登記簿で最終確認。</t>
        </is>
      </c>
    </row>
    <row r="32">
      <c r="A32" s="9" t="inlineStr">
        <is>
          <t>01</t>
        </is>
      </c>
      <c r="B32" s="9" t="inlineStr">
        <is>
          <t>高輪ザ・レジデンス</t>
        </is>
      </c>
      <c r="C32" s="9" t="inlineStr">
        <is>
          <t>44階</t>
        </is>
      </c>
      <c r="D32" s="9" t="inlineStr">
        <is>
          <t>数値（図面値で入力）</t>
        </is>
      </c>
      <c r="E32" s="9" t="inlineStr">
        <is>
          <t>【数値・図面値で入力】総戸数：574戸（全図面）で入力（他の値：575戸＝東京建物ライブラリー）。</t>
        </is>
      </c>
    </row>
    <row r="33">
      <c r="A33" s="9" t="inlineStr">
        <is>
          <t>01</t>
        </is>
      </c>
      <c r="B33" s="9" t="inlineStr">
        <is>
          <t>高輪ザ・レジデンス</t>
        </is>
      </c>
      <c r="C33" s="9" t="inlineStr">
        <is>
          <t>44階</t>
        </is>
      </c>
      <c r="D33" s="9" t="inlineStr">
        <is>
          <t>数値（図面値で入力）</t>
        </is>
      </c>
      <c r="E33" s="9" t="inlineStr">
        <is>
          <t>【数値・図面値で入力】LD約39.8帖・和室約8帖・洋室約9.2帖は元付HP（ノムコム）の値（図面に帖数の記載なし）。</t>
        </is>
      </c>
    </row>
    <row r="34">
      <c r="A34" s="9" t="inlineStr">
        <is>
          <t>01</t>
        </is>
      </c>
      <c r="B34" s="9" t="inlineStr">
        <is>
          <t>高輪ザ・レジデンス</t>
        </is>
      </c>
      <c r="C34" s="9" t="inlineStr">
        <is>
          <t>44階</t>
        </is>
      </c>
      <c r="D34" s="9" t="inlineStr">
        <is>
          <t>文言</t>
        </is>
      </c>
      <c r="E34" s="9" t="inlineStr">
        <is>
          <t>【文言】間取り表記：2LDK＋5S＋2WIC＋SIC（A-p05）／3LDK＋4S＋2WIC＋SIC（A-p04）／3LDK＋S（A-p06）。安全側のA-p05を入れた。</t>
        </is>
      </c>
    </row>
    <row r="35">
      <c r="A35" s="9" t="inlineStr">
        <is>
          <t>01</t>
        </is>
      </c>
      <c r="B35" s="9" t="inlineStr">
        <is>
          <t>高輪ザ・レジデンス</t>
        </is>
      </c>
      <c r="C35" s="9" t="inlineStr">
        <is>
          <t>44階</t>
        </is>
      </c>
      <c r="D35" s="9" t="inlineStr">
        <is>
          <t>文言</t>
        </is>
      </c>
      <c r="E35" s="9" t="inlineStr">
        <is>
          <t>【文言】間取図：リバブル版（44階/間取図/02_間取図_リバブル版.jpg）は西端の室を「Bedroom1」と表記し採用間取りと食い違うため、images に入れていない。掲載は野村版のみ。</t>
        </is>
      </c>
    </row>
    <row r="36">
      <c r="A36" s="9" t="inlineStr">
        <is>
          <t>01</t>
        </is>
      </c>
      <c r="B36" s="9" t="inlineStr">
        <is>
          <t>高輪ザ・レジデンス</t>
        </is>
      </c>
      <c r="C36" s="9" t="inlineStr">
        <is>
          <t>44階</t>
        </is>
      </c>
      <c r="D36" s="9" t="inlineStr">
        <is>
          <t>文言</t>
        </is>
      </c>
      <c r="E36" s="9" t="inlineStr">
        <is>
          <t>【文言】リフォーム履歴：図面・HPに記載なし。空欄のまま。</t>
        </is>
      </c>
    </row>
    <row r="37">
      <c r="A37" s="9" t="inlineStr">
        <is>
          <t>01</t>
        </is>
      </c>
      <c r="B37" s="9" t="inlineStr">
        <is>
          <t>高輪ザ・レジデンス</t>
        </is>
      </c>
      <c r="C37" s="9" t="inlineStr">
        <is>
          <t>44階</t>
        </is>
      </c>
      <c r="D37" s="9" t="inlineStr">
        <is>
          <t>文言</t>
        </is>
      </c>
      <c r="E37" s="9" t="inlineStr">
        <is>
          <t>【文言】角部屋の表記は図面・HPに根拠なし。角住戸・最上階系の表示は付けていない。</t>
        </is>
      </c>
    </row>
    <row r="38">
      <c r="A38" s="9" t="inlineStr">
        <is>
          <t>01</t>
        </is>
      </c>
      <c r="B38" s="9" t="inlineStr">
        <is>
          <t>高輪ザ・レジデンス</t>
        </is>
      </c>
      <c r="C38" s="9" t="inlineStr">
        <is>
          <t>44階</t>
        </is>
      </c>
      <c r="D38" s="9" t="inlineStr">
        <is>
          <t>文言</t>
        </is>
      </c>
      <c r="E38" s="9" t="inlineStr">
        <is>
          <t>【文言】用途地域：商業・第一種住居・近隣商業（A-p04、港区用途地域図）。面積按分は重説で確認。</t>
        </is>
      </c>
    </row>
    <row r="39">
      <c r="A39" s="9" t="inlineStr">
        <is>
          <t>01</t>
        </is>
      </c>
      <c r="B39" s="9" t="inlineStr">
        <is>
          <t>高輪ザ・レジデンス</t>
        </is>
      </c>
      <c r="C39" s="9" t="inlineStr">
        <is>
          <t>44階</t>
        </is>
      </c>
      <c r="D39" s="9" t="inlineStr">
        <is>
          <t>文言</t>
        </is>
      </c>
      <c r="E39" s="9" t="inlineStr">
        <is>
          <t>【文言】管理員の勤務形態：日勤（A-p05・A-p06）で入力。24時間有人管理は複数図面で一致。</t>
        </is>
      </c>
    </row>
    <row r="40">
      <c r="A40" s="9" t="inlineStr">
        <is>
          <t>01</t>
        </is>
      </c>
      <c r="B40" s="9" t="inlineStr">
        <is>
          <t>高輪ザ・レジデンス</t>
        </is>
      </c>
      <c r="C40" s="9" t="inlineStr">
        <is>
          <t>44階</t>
        </is>
      </c>
      <c r="D40" s="9" t="inlineStr">
        <is>
          <t>文言</t>
        </is>
      </c>
      <c r="E40" s="9" t="inlineStr">
        <is>
          <t>【文言】鍵：東急リバブルGRANTACT六本木（立会可、A-p06）。掲載文には「内見は立会」とだけ書いた。</t>
        </is>
      </c>
    </row>
    <row r="41">
      <c r="A41" s="9" t="inlineStr">
        <is>
          <t>01</t>
        </is>
      </c>
      <c r="B41" s="9" t="inlineStr">
        <is>
          <t>高輪ザ・レジデンス</t>
        </is>
      </c>
      <c r="C41" s="9" t="inlineStr">
        <is>
          <t>44階</t>
        </is>
      </c>
      <c r="D41" s="9" t="inlineStr">
        <is>
          <t>文言</t>
        </is>
      </c>
      <c r="E41" s="9" t="inlineStr">
        <is>
          <t>【文言】写真の転載範囲：この住戸の元付（野村不動産ソリューションズ・東急リバブル。J・P・EはHP写真なし）のHP由来だけを images に入れた。同じ建物の46-47階の元付（ケン・コーポレーション、リスト サザビーズ）HP由来の共用部写真9枚は images_pending_permission に移した（note に記載）。</t>
        </is>
      </c>
    </row>
    <row r="42">
      <c r="A42" s="9" t="inlineStr">
        <is>
          <t>01</t>
        </is>
      </c>
      <c r="B42" s="9" t="inlineStr">
        <is>
          <t>高輪ザ・レジデンス</t>
        </is>
      </c>
      <c r="C42" s="9" t="inlineStr">
        <is>
          <t>44階</t>
        </is>
      </c>
      <c r="D42" s="9" t="inlineStr">
        <is>
          <t>文言</t>
        </is>
      </c>
      <c r="E42" s="9" t="inlineStr">
        <is>
          <t>【文言】透かし：東急リバブル由来の写真（GRANTACTのロゴ）に透かしあり。該当画像に "watermark": true を付けた。元付から透かしなしの原本を入手できれば差し替え。</t>
        </is>
      </c>
    </row>
    <row r="43">
      <c r="A43" s="9" t="inlineStr">
        <is>
          <t>01</t>
        </is>
      </c>
      <c r="B43" s="9" t="inlineStr">
        <is>
          <t>高輪ザ・レジデンス</t>
        </is>
      </c>
      <c r="C43" s="9" t="inlineStr">
        <is>
          <t>44階</t>
        </is>
      </c>
      <c r="D43" s="9" t="inlineStr">
        <is>
          <t>推測入力</t>
        </is>
      </c>
      <c r="E43" s="9" t="inlineStr">
        <is>
          <t>洋室5枚（16〜20）がどの居室（Bedroom・サービスルーム等）に当たるかは特定できないため、すべて「洋室(21)」とした。</t>
        </is>
      </c>
    </row>
    <row r="44">
      <c r="A44" s="9" t="inlineStr">
        <is>
          <t>01</t>
        </is>
      </c>
      <c r="B44" s="9" t="inlineStr">
        <is>
          <t>高輪ザ・レジデンス</t>
        </is>
      </c>
      <c r="C44" s="9" t="inlineStr">
        <is>
          <t>44階</t>
        </is>
      </c>
      <c r="D44" s="9" t="inlineStr">
        <is>
          <t>推測入力</t>
        </is>
      </c>
      <c r="E44" s="9" t="inlineStr">
        <is>
          <t>設備チェック「システムキッチン」「全面フローリング」は写真からの判断。</t>
        </is>
      </c>
    </row>
    <row r="45">
      <c r="A45" s="9" t="inlineStr">
        <is>
          <t>01</t>
        </is>
      </c>
      <c r="B45" s="9" t="inlineStr">
        <is>
          <t>高輪ザ・レジデンス</t>
        </is>
      </c>
      <c r="C45" s="9" t="inlineStr">
        <is>
          <t>44階</t>
        </is>
      </c>
      <c r="D45" s="9" t="inlineStr">
        <is>
          <t>推測入力</t>
        </is>
      </c>
      <c r="E45" s="9" t="inlineStr">
        <is>
          <t>玄関2か所を「来客とご家族の動線を分けられる」「二世帯にも対応しやすい」とした表現は推測（図面に明記なし）。</t>
        </is>
      </c>
    </row>
    <row r="46">
      <c r="A46" s="9" t="inlineStr">
        <is>
          <t>01</t>
        </is>
      </c>
      <c r="B46" s="9" t="inlineStr">
        <is>
          <t>高輪ザ・レジデンス</t>
        </is>
      </c>
      <c r="C46" s="9" t="inlineStr">
        <is>
          <t>44階</t>
        </is>
      </c>
      <c r="D46" s="9" t="inlineStr">
        <is>
          <t>推測入力</t>
        </is>
      </c>
      <c r="E46" s="9" t="inlineStr">
        <is>
          <t>画像カテゴリ：勝手口は「玄関(7)」、グランドホールは「ロビー(44)」、サロン・ラウンジ・廊下・階段・アプローチは「その他共用部分(19)」。</t>
        </is>
      </c>
    </row>
    <row r="47">
      <c r="A47" s="9" t="inlineStr">
        <is>
          <t>01</t>
        </is>
      </c>
      <c r="B47" s="9" t="inlineStr">
        <is>
          <t>高輪ザ・レジデンス</t>
        </is>
      </c>
      <c r="C47" s="9" t="inlineStr">
        <is>
          <t>44階</t>
        </is>
      </c>
      <c r="D47" s="9" t="inlineStr">
        <is>
          <t>推測入力</t>
        </is>
      </c>
      <c r="E47" s="9" t="inlineStr">
        <is>
          <t>LDの写真が7枚あるため、眺望が入る写真（09）を先頭にした。</t>
        </is>
      </c>
    </row>
    <row r="48">
      <c r="A48" s="9" t="inlineStr">
        <is>
          <t>01</t>
        </is>
      </c>
      <c r="B48" s="9" t="inlineStr">
        <is>
          <t>高輪ザ・レジデンス</t>
        </is>
      </c>
      <c r="C48" s="9" t="inlineStr">
        <is>
          <t>44階</t>
        </is>
      </c>
      <c r="D48" s="9" t="inlineStr">
        <is>
          <t>推測入力</t>
        </is>
      </c>
      <c r="E48" s="9" t="inlineStr">
        <is>
          <t>コメントの表現（暮らしのイメージ部分）は写真と図面からの推測を含む。</t>
        </is>
      </c>
    </row>
    <row r="49">
      <c r="A49" s="9" t="inlineStr">
        <is>
          <t>01</t>
        </is>
      </c>
      <c r="B49" s="9" t="inlineStr">
        <is>
          <t>高輪ザ・レジデンス</t>
        </is>
      </c>
      <c r="C49" s="9" t="inlineStr">
        <is>
          <t>46-47階</t>
        </is>
      </c>
      <c r="D49" s="9" t="inlineStr">
        <is>
          <t>数値（図面値で入力）</t>
        </is>
      </c>
      <c r="E49" s="9" t="inlineStr">
        <is>
          <t>【数値・図面値で入力】交通：この住戸の元付図面2枚のうちA-p01（ケン）を優先。高輪台7分（A-p01）／6分（A-p02）、白金台10分（A-p01・南北線）／8分（A-p02）、高輪ゲートウェイ16分（A-p01）／14分（A-p02）。</t>
        </is>
      </c>
    </row>
    <row r="50">
      <c r="A50" s="9" t="inlineStr">
        <is>
          <t>01</t>
        </is>
      </c>
      <c r="B50" s="9" t="inlineStr">
        <is>
          <t>高輪ザ・レジデンス</t>
        </is>
      </c>
      <c r="C50" s="9" t="inlineStr">
        <is>
          <t>46-47階</t>
        </is>
      </c>
      <c r="D50" s="9" t="inlineStr">
        <is>
          <t>数値（図面値で入力）</t>
        </is>
      </c>
      <c r="E50" s="9" t="inlineStr">
        <is>
          <t>【数値・図面値で入力】泉岳寺：図面値で入力（他の値：12分＝東京建物ライブラリー）。A-p01の15分。</t>
        </is>
      </c>
    </row>
    <row r="51">
      <c r="A51" s="9" t="inlineStr">
        <is>
          <t>01</t>
        </is>
      </c>
      <c r="B51" s="9" t="inlineStr">
        <is>
          <t>高輪ザ・レジデンス</t>
        </is>
      </c>
      <c r="C51" s="9" t="inlineStr">
        <is>
          <t>46-47階</t>
        </is>
      </c>
      <c r="D51" s="9" t="inlineStr">
        <is>
          <t>数値（図面値で入力）</t>
        </is>
      </c>
      <c r="E51" s="9" t="inlineStr">
        <is>
          <t>【数値・図面値で入力】品川：この住戸の図面に記載がないため、同建物A-p08の15分で入力（他の値：16分＝東京建物ライブラリー）。白金高輪9分も同建物A-p05・A-p06・A-p08の値。</t>
        </is>
      </c>
    </row>
    <row r="52">
      <c r="A52" s="9" t="inlineStr">
        <is>
          <t>01</t>
        </is>
      </c>
      <c r="B52" s="9" t="inlineStr">
        <is>
          <t>高輪ザ・レジデンス</t>
        </is>
      </c>
      <c r="C52" s="9" t="inlineStr">
        <is>
          <t>46-47階</t>
        </is>
      </c>
      <c r="D52" s="9" t="inlineStr">
        <is>
          <t>数値（図面値で入力）</t>
        </is>
      </c>
      <c r="E52" s="9" t="inlineStr">
        <is>
          <t>【数値・図面値で入力】月額合計：211,127円（A-p01の管理費等＋A-p02の特定階負担金6,732円の合計）で入力（他の値：204,395円＝A-p01記載の合計。特定階負担金を含まない）。</t>
        </is>
      </c>
    </row>
    <row r="53">
      <c r="A53" s="9" t="inlineStr">
        <is>
          <t>01</t>
        </is>
      </c>
      <c r="B53" s="9" t="inlineStr">
        <is>
          <t>高輪ザ・レジデンス</t>
        </is>
      </c>
      <c r="C53" s="9" t="inlineStr">
        <is>
          <t>46-47階</t>
        </is>
      </c>
      <c r="D53" s="9" t="inlineStr">
        <is>
          <t>数値（図面値で入力）</t>
        </is>
      </c>
      <c r="E53" s="9" t="inlineStr">
        <is>
          <t>【数値・図面値で入力】駐車場：有・月額35,000〜65,000円（A-p02）で入力（他の値：「空無」＝A-p01）。空き状況は管理会社に確認。掲載文は「空き状況はお問い合わせください」とした。</t>
        </is>
      </c>
    </row>
    <row r="54">
      <c r="A54" s="9" t="inlineStr">
        <is>
          <t>01</t>
        </is>
      </c>
      <c r="B54" s="9" t="inlineStr">
        <is>
          <t>高輪ザ・レジデンス</t>
        </is>
      </c>
      <c r="C54" s="9" t="inlineStr">
        <is>
          <t>46-47階</t>
        </is>
      </c>
      <c r="D54" s="9" t="inlineStr">
        <is>
          <t>数値（図面値で入力）</t>
        </is>
      </c>
      <c r="E54" s="9" t="inlineStr">
        <is>
          <t>【数値・図面値で入力】総戸数：574戸（全図面）で入力（他の値：575戸＝東京建物ライブラリー）。</t>
        </is>
      </c>
    </row>
    <row r="55">
      <c r="A55" s="9" t="inlineStr">
        <is>
          <t>01</t>
        </is>
      </c>
      <c r="B55" s="9" t="inlineStr">
        <is>
          <t>高輪ザ・レジデンス</t>
        </is>
      </c>
      <c r="C55" s="9" t="inlineStr">
        <is>
          <t>46-47階</t>
        </is>
      </c>
      <c r="D55" s="9" t="inlineStr">
        <is>
          <t>文言</t>
        </is>
      </c>
      <c r="E55" s="9" t="inlineStr">
        <is>
          <t>【文言】向き：南（A-p02「南向き角住戸」）／南・西・東向き（A-p01）／南東（ケンHP）。「南」を入れ、コメントは「南向き角住戸」「南・西・東に開口」とした。</t>
        </is>
      </c>
    </row>
    <row r="56">
      <c r="A56" s="9" t="inlineStr">
        <is>
          <t>01</t>
        </is>
      </c>
      <c r="B56" s="9" t="inlineStr">
        <is>
          <t>高輪ザ・レジデンス</t>
        </is>
      </c>
      <c r="C56" s="9" t="inlineStr">
        <is>
          <t>46-47階</t>
        </is>
      </c>
      <c r="D56" s="9" t="inlineStr">
        <is>
          <t>文言</t>
        </is>
      </c>
      <c r="E56" s="9" t="inlineStr">
        <is>
          <t>【文言】間取り表記：1LDK＋S（A-p01）／1LDK＋Gym＋Sauna（A-p02）。A-p01の表記を入れた。</t>
        </is>
      </c>
    </row>
    <row r="57">
      <c r="A57" s="9" t="inlineStr">
        <is>
          <t>01</t>
        </is>
      </c>
      <c r="B57" s="9" t="inlineStr">
        <is>
          <t>高輪ザ・レジデンス</t>
        </is>
      </c>
      <c r="C57" s="9" t="inlineStr">
        <is>
          <t>46-47階</t>
        </is>
      </c>
      <c r="D57" s="9" t="inlineStr">
        <is>
          <t>文言</t>
        </is>
      </c>
      <c r="E57" s="9" t="inlineStr">
        <is>
          <t>【文言】リフォーム表記：2024年1月完成・キッチン等交換（A-p01）／「新築基準のフルリノベーション済」（A-p02）。掲載文は2024年1月の交換内容に留め、「フルリノベーション」とは書いていない。</t>
        </is>
      </c>
    </row>
    <row r="58">
      <c r="A58" s="9" t="inlineStr">
        <is>
          <t>01</t>
        </is>
      </c>
      <c r="B58" s="9" t="inlineStr">
        <is>
          <t>高輪ザ・レジデンス</t>
        </is>
      </c>
      <c r="C58" s="9" t="inlineStr">
        <is>
          <t>46-47階</t>
        </is>
      </c>
      <c r="D58" s="9" t="inlineStr">
        <is>
          <t>文言</t>
        </is>
      </c>
      <c r="E58" s="9" t="inlineStr">
        <is>
          <t>【文言】A-p02（サザビーズ）の図面に「広告掲載等は一切お断り」の表記。依頼者は承諾取得済との指示。</t>
        </is>
      </c>
    </row>
    <row r="59">
      <c r="A59" s="9" t="inlineStr">
        <is>
          <t>01</t>
        </is>
      </c>
      <c r="B59" s="9" t="inlineStr">
        <is>
          <t>高輪ザ・レジデンス</t>
        </is>
      </c>
      <c r="C59" s="9" t="inlineStr">
        <is>
          <t>46-47階</t>
        </is>
      </c>
      <c r="D59" s="9" t="inlineStr">
        <is>
          <t>文言</t>
        </is>
      </c>
      <c r="E59" s="9" t="inlineStr">
        <is>
          <t>【文言】用途地域：商業・第一種住居・近隣商業（A-p04、港区用途地域図）／第一種住居・商業（A-p01）ほか。3種で入力。面積按分は重説で確認。</t>
        </is>
      </c>
    </row>
    <row r="60">
      <c r="A60" s="9" t="inlineStr">
        <is>
          <t>01</t>
        </is>
      </c>
      <c r="B60" s="9" t="inlineStr">
        <is>
          <t>高輪ザ・レジデンス</t>
        </is>
      </c>
      <c r="C60" s="9" t="inlineStr">
        <is>
          <t>46-47階</t>
        </is>
      </c>
      <c r="D60" s="9" t="inlineStr">
        <is>
          <t>文言</t>
        </is>
      </c>
      <c r="E60" s="9" t="inlineStr">
        <is>
          <t>【文言】管理員の勤務形態：常勤（A-p01）／常駐（A-p02）。A-p01の「常勤」を入れた。24時間有人管理は複数図面で一致。</t>
        </is>
      </c>
    </row>
    <row r="61">
      <c r="A61" s="9" t="inlineStr">
        <is>
          <t>01</t>
        </is>
      </c>
      <c r="B61" s="9" t="inlineStr">
        <is>
          <t>高輪ザ・レジデンス</t>
        </is>
      </c>
      <c r="C61" s="9" t="inlineStr">
        <is>
          <t>46-47階</t>
        </is>
      </c>
      <c r="D61" s="9" t="inlineStr">
        <is>
          <t>文言</t>
        </is>
      </c>
      <c r="E61" s="9" t="inlineStr">
        <is>
          <t>【文言】トランクルーム：空無（A-p01）。掲載文には入れていない。</t>
        </is>
      </c>
    </row>
    <row r="62">
      <c r="A62" s="9" t="inlineStr">
        <is>
          <t>01</t>
        </is>
      </c>
      <c r="B62" s="9" t="inlineStr">
        <is>
          <t>高輪ザ・レジデンス</t>
        </is>
      </c>
      <c r="C62" s="9" t="inlineStr">
        <is>
          <t>46-47階</t>
        </is>
      </c>
      <c r="D62" s="9" t="inlineStr">
        <is>
          <t>文言</t>
        </is>
      </c>
      <c r="E62" s="9" t="inlineStr">
        <is>
          <t>【文言】制震構造：A-p06「大規模制震タワーレジデンス」・ケンHP。掲載文に使用。</t>
        </is>
      </c>
    </row>
    <row r="63">
      <c r="A63" s="9" t="inlineStr">
        <is>
          <t>01</t>
        </is>
      </c>
      <c r="B63" s="9" t="inlineStr">
        <is>
          <t>高輪ザ・レジデンス</t>
        </is>
      </c>
      <c r="C63" s="9" t="inlineStr">
        <is>
          <t>46-47階</t>
        </is>
      </c>
      <c r="D63" s="9" t="inlineStr">
        <is>
          <t>文言</t>
        </is>
      </c>
      <c r="E63" s="9" t="inlineStr">
        <is>
          <t>【文言】中学校区（港区立高松中学校）はポータル情報のみ。Yahoo!その他概要にのみ記載。</t>
        </is>
      </c>
    </row>
    <row r="64">
      <c r="A64" s="9" t="inlineStr">
        <is>
          <t>01</t>
        </is>
      </c>
      <c r="B64" s="9" t="inlineStr">
        <is>
          <t>高輪ザ・レジデンス</t>
        </is>
      </c>
      <c r="C64" s="9" t="inlineStr">
        <is>
          <t>46-47階</t>
        </is>
      </c>
      <c r="D64" s="9" t="inlineStr">
        <is>
          <t>文言</t>
        </is>
      </c>
      <c r="E64" s="9" t="inlineStr">
        <is>
          <t>【文言】写真の転載範囲：この住戸の元付（ケン・コーポレーション、リスト サザビーズ）のHP由来と販売図面由来だけを images に入れた。同じ建物の44階の元付（野村不動産ソリューションズ・東急リバブル）HP由来の共用部写真15枚は images_pending_permission に移した（note に記載）。</t>
        </is>
      </c>
    </row>
    <row r="65">
      <c r="A65" s="9" t="inlineStr">
        <is>
          <t>01</t>
        </is>
      </c>
      <c r="B65" s="9" t="inlineStr">
        <is>
          <t>高輪ザ・レジデンス</t>
        </is>
      </c>
      <c r="C65" s="9" t="inlineStr">
        <is>
          <t>46-47階</t>
        </is>
      </c>
      <c r="D65" s="9" t="inlineStr">
        <is>
          <t>文言</t>
        </is>
      </c>
      <c r="E65" s="9" t="inlineStr">
        <is>
          <t>【文言】透かし：ケン由来の透かし入り写真は依頼者指示（2026-09-28）により不使用（images_excluded）。掲載写真はすべて販売図面（A-p01ケン・A-p02サザビーズ）から切り出した透かし無しのもの（目視確認）。外観写真は透かし無しのものがなく未掲載</t>
        </is>
      </c>
    </row>
    <row r="66">
      <c r="A66" s="9" t="inlineStr">
        <is>
          <t>01</t>
        </is>
      </c>
      <c r="B66" s="9" t="inlineStr">
        <is>
          <t>高輪ザ・レジデンス</t>
        </is>
      </c>
      <c r="C66" s="9" t="inlineStr">
        <is>
          <t>46-47階</t>
        </is>
      </c>
      <c r="D66" s="9" t="inlineStr">
        <is>
          <t>推測入力</t>
        </is>
      </c>
      <c r="E66" s="9" t="inlineStr">
        <is>
          <t>設備チェック「トイレ2ヶ所」：A-p01平面図のPowder Room（上下階各1）から判断。</t>
        </is>
      </c>
    </row>
    <row r="67">
      <c r="A67" s="9" t="inlineStr">
        <is>
          <t>01</t>
        </is>
      </c>
      <c r="B67" s="9" t="inlineStr">
        <is>
          <t>高輪ザ・レジデンス</t>
        </is>
      </c>
      <c r="C67" s="9" t="inlineStr">
        <is>
          <t>46-47階</t>
        </is>
      </c>
      <c r="D67" s="9" t="inlineStr">
        <is>
          <t>推測入力</t>
        </is>
      </c>
      <c r="E67" s="9" t="inlineStr">
        <is>
          <t>画像カテゴリ：バー・ワインセラー・サウナは「その他内観(38)」、ジム・サービスルームは「その他居室(37)」、シャワールームは「バス(6)」を選択（該当カテゴリがないため）。</t>
        </is>
      </c>
    </row>
    <row r="68">
      <c r="A68" s="9" t="inlineStr">
        <is>
          <t>01</t>
        </is>
      </c>
      <c r="B68" s="9" t="inlineStr">
        <is>
          <t>高輪ザ・レジデンス</t>
        </is>
      </c>
      <c r="C68" s="9" t="inlineStr">
        <is>
          <t>46-47階</t>
        </is>
      </c>
      <c r="D68" s="9" t="inlineStr">
        <is>
          <t>推測入力</t>
        </is>
      </c>
      <c r="E68" s="9" t="inlineStr">
        <is>
          <t>画像カテゴリ：フロントは「ロビー(44)」、館銘板は「エントランス(16)」、ラウンジ・廊下・中庭・エレベーターホールは「その他共用部分(19)」、2枚目以降の外観は「外観(2)」（通常スロットで2が選べない場合は「その他(15)」）。</t>
        </is>
      </c>
    </row>
    <row r="69">
      <c r="A69" s="9" t="inlineStr">
        <is>
          <t>01</t>
        </is>
      </c>
      <c r="B69" s="9" t="inlineStr">
        <is>
          <t>高輪ザ・レジデンス</t>
        </is>
      </c>
      <c r="C69" s="9" t="inlineStr">
        <is>
          <t>46-47階</t>
        </is>
      </c>
      <c r="D69" s="9" t="inlineStr">
        <is>
          <t>推測入力</t>
        </is>
      </c>
      <c r="E69" s="9" t="inlineStr">
        <is>
          <t>1枚目（物件の顔）は透かしのない外観（共用部/04_外観4・ケン）にした。</t>
        </is>
      </c>
    </row>
    <row r="70">
      <c r="A70" s="9" t="inlineStr">
        <is>
          <t>01</t>
        </is>
      </c>
      <c r="B70" s="9" t="inlineStr">
        <is>
          <t>高輪ザ・レジデンス</t>
        </is>
      </c>
      <c r="C70" s="9" t="inlineStr">
        <is>
          <t>46-47階</t>
        </is>
      </c>
      <c r="D70" s="9" t="inlineStr">
        <is>
          <t>推測入力</t>
        </is>
      </c>
      <c r="E70" s="9" t="inlineStr">
        <is>
          <t>コメントの表現（暮らしのイメージ部分）は写真と図面からの推測を含む。眺望写真の方向（寺院・学校の緑など）は写真からの判断。</t>
        </is>
      </c>
    </row>
    <row r="71">
      <c r="A71" s="9" t="inlineStr">
        <is>
          <t>01</t>
        </is>
      </c>
      <c r="B71" s="9" t="inlineStr">
        <is>
          <t>高輪ザ・レジデンス</t>
        </is>
      </c>
      <c r="C71" s="9" t="inlineStr">
        <is>
          <t>46-47階</t>
        </is>
      </c>
      <c r="D71" s="9" t="inlineStr">
        <is>
          <t>推測入力</t>
        </is>
      </c>
      <c r="E71" s="9" t="inlineStr">
        <is>
          <t>写真の家具・テレビは撮影時のもの（家具相談の対象かは元付に確認）。</t>
        </is>
      </c>
    </row>
    <row r="72">
      <c r="A72" s="9" t="inlineStr">
        <is>
          <t>02</t>
        </is>
      </c>
      <c r="B72" s="9" t="inlineStr">
        <is>
          <t>アクシア青山</t>
        </is>
      </c>
      <c r="C72" s="9" t="inlineStr">
        <is>
          <t>20階</t>
        </is>
      </c>
      <c r="D72" s="9" t="inlineStr">
        <is>
          <t>数値（図面値で入力）</t>
        </is>
      </c>
      <c r="E72" s="9" t="inlineStr">
        <is>
          <t>【数値・図面値で入力】価格の税区分：A-p03に税込／非課税の記載なし。元付に確認して入力。</t>
        </is>
      </c>
    </row>
    <row r="73">
      <c r="A73" s="9" t="inlineStr">
        <is>
          <t>02</t>
        </is>
      </c>
      <c r="B73" s="9" t="inlineStr">
        <is>
          <t>アクシア青山</t>
        </is>
      </c>
      <c r="C73" s="9" t="inlineStr">
        <is>
          <t>20階</t>
        </is>
      </c>
      <c r="D73" s="9" t="inlineStr">
        <is>
          <t>数値（図面値で入力）</t>
        </is>
      </c>
      <c r="E73" s="9" t="inlineStr">
        <is>
          <t>【数値・図面値で入力】地上階数：地上20階・地下1階（A-p03・元付HP・SUUMO）で入力（他の値：地上21階・地下1階＝設計者UG・リバブル等）。21階部分の用途が不明のため「最上階」は付けず、A-p03の表記「上階に住居なし」で表現した。</t>
        </is>
      </c>
    </row>
    <row r="74">
      <c r="A74" s="9" t="inlineStr">
        <is>
          <t>02</t>
        </is>
      </c>
      <c r="B74" s="9" t="inlineStr">
        <is>
          <t>アクシア青山</t>
        </is>
      </c>
      <c r="C74" s="9" t="inlineStr">
        <is>
          <t>20階</t>
        </is>
      </c>
      <c r="D74" s="9" t="inlineStr">
        <is>
          <t>数値（図面値で入力）</t>
        </is>
      </c>
      <c r="E74" s="9" t="inlineStr">
        <is>
          <t>【数値・図面値で入力】竣工年月：2002年5月（A-p03）で入力（他の値：2002年6月＝元付ライブラリ・リバブル等）。</t>
        </is>
      </c>
    </row>
    <row r="75">
      <c r="A75" s="9" t="inlineStr">
        <is>
          <t>02</t>
        </is>
      </c>
      <c r="B75" s="9" t="inlineStr">
        <is>
          <t>アクシア青山</t>
        </is>
      </c>
      <c r="C75" s="9" t="inlineStr">
        <is>
          <t>20階</t>
        </is>
      </c>
      <c r="D75" s="9" t="inlineStr">
        <is>
          <t>数値（図面値で入力）</t>
        </is>
      </c>
      <c r="E75" s="9" t="inlineStr">
        <is>
          <t>【数値・図面値で入力】総戸数：103戸（A-p03）で入力（他の値：住戸数100戸＝設計者UG）。</t>
        </is>
      </c>
    </row>
    <row r="76">
      <c r="A76" s="9" t="inlineStr">
        <is>
          <t>02</t>
        </is>
      </c>
      <c r="B76" s="9" t="inlineStr">
        <is>
          <t>アクシア青山</t>
        </is>
      </c>
      <c r="C76" s="9" t="inlineStr">
        <is>
          <t>20階</t>
        </is>
      </c>
      <c r="D76" s="9" t="inlineStr">
        <is>
          <t>数値（図面値で入力）</t>
        </is>
      </c>
      <c r="E76" s="9" t="inlineStr">
        <is>
          <t>【数値・図面値で入力】駅徒歩：青山一丁目4分・乃木坂7分・外苑前11分（A-p03）で入力（他の値：青山一丁目2分・乃木坂5〜6分・外苑前12分＝ケン等）。</t>
        </is>
      </c>
    </row>
    <row r="77">
      <c r="A77" s="9" t="inlineStr">
        <is>
          <t>02</t>
        </is>
      </c>
      <c r="B77" s="9" t="inlineStr">
        <is>
          <t>アクシア青山</t>
        </is>
      </c>
      <c r="C77" s="9" t="inlineStr">
        <is>
          <t>20階</t>
        </is>
      </c>
      <c r="D77" s="9" t="inlineStr">
        <is>
          <t>数値（図面値で入力）</t>
        </is>
      </c>
      <c r="E77" s="9" t="inlineStr">
        <is>
          <t>【数値・図面値で入力】トイレ数：3か所（A-p03 Sales Point・間取図）で入力（他の値：2か所＝元付HP設備欄・SUUMO）。</t>
        </is>
      </c>
    </row>
    <row r="78">
      <c r="A78" s="9" t="inlineStr">
        <is>
          <t>02</t>
        </is>
      </c>
      <c r="B78" s="9" t="inlineStr">
        <is>
          <t>アクシア青山</t>
        </is>
      </c>
      <c r="C78" s="9" t="inlineStr">
        <is>
          <t>20階</t>
        </is>
      </c>
      <c r="D78" s="9" t="inlineStr">
        <is>
          <t>文言</t>
        </is>
      </c>
      <c r="E78" s="9" t="inlineStr">
        <is>
          <t>【文言】所在地の住居表示／地番の別：A-p03に記載なし。</t>
        </is>
      </c>
    </row>
    <row r="79">
      <c r="A79" s="9" t="inlineStr">
        <is>
          <t>02</t>
        </is>
      </c>
      <c r="B79" s="9" t="inlineStr">
        <is>
          <t>アクシア青山</t>
        </is>
      </c>
      <c r="C79" s="9" t="inlineStr">
        <is>
          <t>20階</t>
        </is>
      </c>
      <c r="D79" s="9" t="inlineStr">
        <is>
          <t>文言</t>
        </is>
      </c>
      <c r="E79" s="9" t="inlineStr">
        <is>
          <t>【文言】向き：西（元付HP・SUUMO）／4面採光（A-p03）。「西」を入れた。掲載文は「4面採光」で表現。</t>
        </is>
      </c>
    </row>
    <row r="80">
      <c r="A80" s="9" t="inlineStr">
        <is>
          <t>02</t>
        </is>
      </c>
      <c r="B80" s="9" t="inlineStr">
        <is>
          <t>アクシア青山</t>
        </is>
      </c>
      <c r="C80" s="9" t="inlineStr">
        <is>
          <t>20階</t>
        </is>
      </c>
      <c r="D80" s="9" t="inlineStr">
        <is>
          <t>文言</t>
        </is>
      </c>
      <c r="E80" s="9" t="inlineStr">
        <is>
          <t>【文言】ペット：不可（A-p03）／小鳥2羽・観賞魚・盲導犬のみ可（住まいの教科書）。「不可」を入れた。</t>
        </is>
      </c>
    </row>
    <row r="81">
      <c r="A81" s="9" t="inlineStr">
        <is>
          <t>02</t>
        </is>
      </c>
      <c r="B81" s="9" t="inlineStr">
        <is>
          <t>アクシア青山</t>
        </is>
      </c>
      <c r="C81" s="9" t="inlineStr">
        <is>
          <t>20階</t>
        </is>
      </c>
      <c r="D81" s="9" t="inlineStr">
        <is>
          <t>文言</t>
        </is>
      </c>
      <c r="E81" s="9" t="inlineStr">
        <is>
          <t>【文言】用途地域：商業地域・第二種住居地域（A-p03）／商業のみ（SUUMO）。</t>
        </is>
      </c>
    </row>
    <row r="82">
      <c r="A82" s="9" t="inlineStr">
        <is>
          <t>02</t>
        </is>
      </c>
      <c r="B82" s="9" t="inlineStr">
        <is>
          <t>アクシア青山</t>
        </is>
      </c>
      <c r="C82" s="9" t="inlineStr">
        <is>
          <t>20階</t>
        </is>
      </c>
      <c r="D82" s="9" t="inlineStr">
        <is>
          <t>文言</t>
        </is>
      </c>
      <c r="E82" s="9" t="inlineStr">
        <is>
          <t>【文言】リフォーム履歴：元付HP特徴欄に「リフォーム」の語だけあり内容・時期は不明。「リフォーム済」は付けていない。</t>
        </is>
      </c>
    </row>
    <row r="83">
      <c r="A83" s="9" t="inlineStr">
        <is>
          <t>02</t>
        </is>
      </c>
      <c r="B83" s="9" t="inlineStr">
        <is>
          <t>アクシア青山</t>
        </is>
      </c>
      <c r="C83" s="9" t="inlineStr">
        <is>
          <t>20階</t>
        </is>
      </c>
      <c r="D83" s="9" t="inlineStr">
        <is>
          <t>文言</t>
        </is>
      </c>
      <c r="E83" s="9" t="inlineStr">
        <is>
          <t>【文言】小学校区・中学校区・バイク置場・病院は他社HP／ポータル由来。Yahoo!その他概要にのみ記載。</t>
        </is>
      </c>
    </row>
    <row r="84">
      <c r="A84" s="9" t="inlineStr">
        <is>
          <t>02</t>
        </is>
      </c>
      <c r="B84" s="9" t="inlineStr">
        <is>
          <t>アクシア青山</t>
        </is>
      </c>
      <c r="C84" s="9" t="inlineStr">
        <is>
          <t>20階</t>
        </is>
      </c>
      <c r="D84" s="9" t="inlineStr">
        <is>
          <t>文言</t>
        </is>
      </c>
      <c r="E84" s="9" t="inlineStr">
        <is>
          <t>【文言】A-p03の右下に「【宅建業者様専用】」の表記（QR部分）。依頼者は広告承諾取得済との指示。</t>
        </is>
      </c>
    </row>
    <row r="85">
      <c r="A85" s="9" t="inlineStr">
        <is>
          <t>02</t>
        </is>
      </c>
      <c r="B85" s="9" t="inlineStr">
        <is>
          <t>アクシア青山</t>
        </is>
      </c>
      <c r="C85" s="9" t="inlineStr">
        <is>
          <t>20階</t>
        </is>
      </c>
      <c r="D85" s="9" t="inlineStr">
        <is>
          <t>文言</t>
        </is>
      </c>
      <c r="E85" s="9" t="inlineStr">
        <is>
          <t>【文言】画像：販売図面から切り出したルーフテラス写真（02_ルーフテラス、311×205px）は長辺400px未満のため images_pending_permission に移した。前面道路の写真（08_前面道路）は住戸と関係が薄く掲載の質を下げるため同じく移した。ルーフテラスの写真は元付に原本を依頼するとよい。</t>
        </is>
      </c>
    </row>
    <row r="86">
      <c r="A86" s="9" t="inlineStr">
        <is>
          <t>02</t>
        </is>
      </c>
      <c r="B86" s="9" t="inlineStr">
        <is>
          <t>アクシア青山</t>
        </is>
      </c>
      <c r="C86" s="9" t="inlineStr">
        <is>
          <t>20階</t>
        </is>
      </c>
      <c r="D86" s="9" t="inlineStr">
        <is>
          <t>文言</t>
        </is>
      </c>
      <c r="E86" s="9" t="inlineStr">
        <is>
          <t>【文言】未取得の部位：トイレ、シャワールーム、WIC、玄関、勝手口、主寝室。</t>
        </is>
      </c>
    </row>
    <row r="87">
      <c r="A87" s="9" t="inlineStr">
        <is>
          <t>02</t>
        </is>
      </c>
      <c r="B87" s="9" t="inlineStr">
        <is>
          <t>アクシア青山</t>
        </is>
      </c>
      <c r="C87" s="9" t="inlineStr">
        <is>
          <t>20階</t>
        </is>
      </c>
      <c r="D87" s="9" t="inlineStr">
        <is>
          <t>推測入力</t>
        </is>
      </c>
      <c r="E87" s="9" t="inlineStr">
        <is>
          <t>洋室3枚（08〜10）が主寝室・Bed room1・2のどれかは特定できないため、すべて「洋室(21)」とした。</t>
        </is>
      </c>
    </row>
    <row r="88">
      <c r="A88" s="9" t="inlineStr">
        <is>
          <t>02</t>
        </is>
      </c>
      <c r="B88" s="9" t="inlineStr">
        <is>
          <t>アクシア青山</t>
        </is>
      </c>
      <c r="C88" s="9" t="inlineStr">
        <is>
          <t>20階</t>
        </is>
      </c>
      <c r="D88" s="9" t="inlineStr">
        <is>
          <t>推測入力</t>
        </is>
      </c>
      <c r="E88" s="9" t="inlineStr">
        <is>
          <t>ファミリールームは「その他居室(37)」、オートロックは「エントランス(16)」、メールボックス・宅配ボックスは「その他共用部分(19)」を選択。</t>
        </is>
      </c>
    </row>
    <row r="89">
      <c r="A89" s="9" t="inlineStr">
        <is>
          <t>02</t>
        </is>
      </c>
      <c r="B89" s="9" t="inlineStr">
        <is>
          <t>アクシア青山</t>
        </is>
      </c>
      <c r="C89" s="9" t="inlineStr">
        <is>
          <t>20階</t>
        </is>
      </c>
      <c r="D89" s="9" t="inlineStr">
        <is>
          <t>推測入力</t>
        </is>
      </c>
      <c r="E89" s="9" t="inlineStr">
        <is>
          <t>眺望写真の内容（高層ビル群・緑）は写真からの判断。方角は書いていない。</t>
        </is>
      </c>
    </row>
    <row r="90">
      <c r="A90" s="9" t="inlineStr">
        <is>
          <t>02</t>
        </is>
      </c>
      <c r="B90" s="9" t="inlineStr">
        <is>
          <t>アクシア青山</t>
        </is>
      </c>
      <c r="C90" s="9" t="inlineStr">
        <is>
          <t>20階</t>
        </is>
      </c>
      <c r="D90" s="9" t="inlineStr">
        <is>
          <t>推測入力</t>
        </is>
      </c>
      <c r="E90" s="9" t="inlineStr">
        <is>
          <t>コメントの表現（暮らしのイメージ部分）は写真と図面からの推測を含む。</t>
        </is>
      </c>
    </row>
    <row r="91">
      <c r="A91" s="9" t="inlineStr">
        <is>
          <t>03</t>
        </is>
      </c>
      <c r="B91" s="9" t="inlineStr">
        <is>
          <t>シティタワー高輪</t>
        </is>
      </c>
      <c r="C91" s="9" t="inlineStr">
        <is>
          <t>34階</t>
        </is>
      </c>
      <c r="D91" s="9" t="inlineStr">
        <is>
          <t>数値（図面値で入力）</t>
        </is>
      </c>
      <c r="E91" s="9" t="inlineStr">
        <is>
          <t>【数値・図面値で入力】竣工年月：2004年1月（A-p07・小田急HP）で入力（他の値：2004年3月＝住友不動産系・リバブル・Wikipedia）。</t>
        </is>
      </c>
    </row>
    <row r="92">
      <c r="A92" s="9" t="inlineStr">
        <is>
          <t>03</t>
        </is>
      </c>
      <c r="B92" s="9" t="inlineStr">
        <is>
          <t>シティタワー高輪</t>
        </is>
      </c>
      <c r="C92" s="9" t="inlineStr">
        <is>
          <t>34階</t>
        </is>
      </c>
      <c r="D92" s="9" t="inlineStr">
        <is>
          <t>数値（図面値で入力）</t>
        </is>
      </c>
      <c r="E92" s="9" t="inlineStr">
        <is>
          <t>【数値・図面値で入力】敷地面積：4,386.90㎡（A-p07）で入力（他の値：4,388.91㎡＝住友不動産系・Wikipedia）。</t>
        </is>
      </c>
    </row>
    <row r="93">
      <c r="A93" s="9" t="inlineStr">
        <is>
          <t>03</t>
        </is>
      </c>
      <c r="B93" s="9" t="inlineStr">
        <is>
          <t>シティタワー高輪</t>
        </is>
      </c>
      <c r="C93" s="9" t="inlineStr">
        <is>
          <t>34階</t>
        </is>
      </c>
      <c r="D93" s="9" t="inlineStr">
        <is>
          <t>数値（図面値で入力）</t>
        </is>
      </c>
      <c r="E93" s="9" t="inlineStr">
        <is>
          <t>【数値・図面値で入力】駅徒歩：白金高輪7分・高輪台8分・白金台11分・高輪ゲートウェイ16分（A-p07）で入力（他の値：白金高輪6分＝小田急HP POINT欄・リバブル、高輪台9分＝SUUMO・10分＝ステップ概要・ケン、白金台10分＝住友不動産系、高輪ゲートウェイ17分＝ケン）。</t>
        </is>
      </c>
    </row>
    <row r="94">
      <c r="A94" s="9" t="inlineStr">
        <is>
          <t>03</t>
        </is>
      </c>
      <c r="B94" s="9" t="inlineStr">
        <is>
          <t>シティタワー高輪</t>
        </is>
      </c>
      <c r="C94" s="9" t="inlineStr">
        <is>
          <t>34階</t>
        </is>
      </c>
      <c r="D94" s="9" t="inlineStr">
        <is>
          <t>数値（図面値で入力）</t>
        </is>
      </c>
      <c r="E94" s="9" t="inlineStr">
        <is>
          <t>【数値・図面値で入力】大規模修繕2016年6月完了は東急リバブルのライブラリー記載のみ。掲載文には入れていない。</t>
        </is>
      </c>
    </row>
    <row r="95">
      <c r="A95" s="9" t="inlineStr">
        <is>
          <t>03</t>
        </is>
      </c>
      <c r="B95" s="9" t="inlineStr">
        <is>
          <t>シティタワー高輪</t>
        </is>
      </c>
      <c r="C95" s="9" t="inlineStr">
        <is>
          <t>34階</t>
        </is>
      </c>
      <c r="D95" s="9" t="inlineStr">
        <is>
          <t>文言</t>
        </is>
      </c>
      <c r="E95" s="9" t="inlineStr">
        <is>
          <t>【文言】写真06_眺望（販売図面の切り出し）の「絶景の東京タワービュー ※天候による」の文字部分を除いたトリミング版（34階/写真/06_眺望_文字除去.jpg、645×387px）を作り、images をそれに差し替えた。元の06_眺望.jpg は掲載に使わない。</t>
        </is>
      </c>
    </row>
    <row r="96">
      <c r="A96" s="9" t="inlineStr">
        <is>
          <t>03</t>
        </is>
      </c>
      <c r="B96" s="9" t="inlineStr">
        <is>
          <t>シティタワー高輪</t>
        </is>
      </c>
      <c r="C96" s="9" t="inlineStr">
        <is>
          <t>34階</t>
        </is>
      </c>
      <c r="D96" s="9" t="inlineStr">
        <is>
          <t>文言</t>
        </is>
      </c>
      <c r="E96" s="9" t="inlineStr">
        <is>
          <t>【文言】写真05_エントランスラウンジ（販売図面の切り出し）の右下のキャプション文字「エントランスラウンジ」を除いたトリミング版（共用部/05_エントランスラウンジ_文字除去.jpg、628×340px）に差し替えた。</t>
        </is>
      </c>
    </row>
    <row r="97">
      <c r="A97" s="9" t="inlineStr">
        <is>
          <t>03</t>
        </is>
      </c>
      <c r="B97" s="9" t="inlineStr">
        <is>
          <t>シティタワー高輪</t>
        </is>
      </c>
      <c r="C97" s="9" t="inlineStr">
        <is>
          <t>34階</t>
        </is>
      </c>
      <c r="D97" s="9" t="inlineStr">
        <is>
          <t>文言</t>
        </is>
      </c>
      <c r="E97" s="9" t="inlineStr">
        <is>
          <t>【文言】A-p07の図面に「※無断広告掲載禁止」「広告掲載およびご案内希望の場合は事前にご連絡下さい」の表記。依頼者は承諾取得済との指示だが、事前連絡の要否は元付に確認。</t>
        </is>
      </c>
    </row>
    <row r="98">
      <c r="A98" s="9" t="inlineStr">
        <is>
          <t>03</t>
        </is>
      </c>
      <c r="B98" s="9" t="inlineStr">
        <is>
          <t>シティタワー高輪</t>
        </is>
      </c>
      <c r="C98" s="9" t="inlineStr">
        <is>
          <t>34階</t>
        </is>
      </c>
      <c r="D98" s="9" t="inlineStr">
        <is>
          <t>文言</t>
        </is>
      </c>
      <c r="E98" s="9" t="inlineStr">
        <is>
          <t>【文言】元付（売主）小田急不動産の宅建業免許番号：図面・物件情報に記載なし。入力前に確認。</t>
        </is>
      </c>
    </row>
    <row r="99">
      <c r="A99" s="9" t="inlineStr">
        <is>
          <t>03</t>
        </is>
      </c>
      <c r="B99" s="9" t="inlineStr">
        <is>
          <t>シティタワー高輪</t>
        </is>
      </c>
      <c r="C99" s="9" t="inlineStr">
        <is>
          <t>34階</t>
        </is>
      </c>
      <c r="D99" s="9" t="inlineStr">
        <is>
          <t>文言</t>
        </is>
      </c>
      <c r="E99" s="9" t="inlineStr">
        <is>
          <t>【文言】管理方式：常駐管理（A-p07）／日勤（小田急HP・マンションレビュー）。図面の「常駐管理」を入れた。</t>
        </is>
      </c>
    </row>
    <row r="100">
      <c r="A100" s="9" t="inlineStr">
        <is>
          <t>03</t>
        </is>
      </c>
      <c r="B100" s="9" t="inlineStr">
        <is>
          <t>シティタワー高輪</t>
        </is>
      </c>
      <c r="C100" s="9" t="inlineStr">
        <is>
          <t>34階</t>
        </is>
      </c>
      <c r="D100" s="9" t="inlineStr">
        <is>
          <t>文言</t>
        </is>
      </c>
      <c r="E100" s="9" t="inlineStr">
        <is>
          <t>【文言】分譲会社：住友不動産（A-p07）／住友不動産・デ・リードコーポレーション（住友不動産系物件紹介サイト）。</t>
        </is>
      </c>
    </row>
    <row r="101">
      <c r="A101" s="9" t="inlineStr">
        <is>
          <t>03</t>
        </is>
      </c>
      <c r="B101" s="9" t="inlineStr">
        <is>
          <t>シティタワー高輪</t>
        </is>
      </c>
      <c r="C101" s="9" t="inlineStr">
        <is>
          <t>34階</t>
        </is>
      </c>
      <c r="D101" s="9" t="inlineStr">
        <is>
          <t>文言</t>
        </is>
      </c>
      <c r="E101" s="9" t="inlineStr">
        <is>
          <t>【文言】向き：北東（小田急HP・SUUMO）。図面に向きの記載なし。</t>
        </is>
      </c>
    </row>
    <row r="102">
      <c r="A102" s="9" t="inlineStr">
        <is>
          <t>03</t>
        </is>
      </c>
      <c r="B102" s="9" t="inlineStr">
        <is>
          <t>シティタワー高輪</t>
        </is>
      </c>
      <c r="C102" s="9" t="inlineStr">
        <is>
          <t>34階</t>
        </is>
      </c>
      <c r="D102" s="9" t="inlineStr">
        <is>
          <t>文言</t>
        </is>
      </c>
      <c r="E102" s="9" t="inlineStr">
        <is>
          <t>【文言】間取り表記：5LDK＋3WIC＋SIC（A-p07）／5LDK（小田急HP概要・SUUMO）。</t>
        </is>
      </c>
    </row>
    <row r="103">
      <c r="A103" s="9" t="inlineStr">
        <is>
          <t>03</t>
        </is>
      </c>
      <c r="B103" s="9" t="inlineStr">
        <is>
          <t>シティタワー高輪</t>
        </is>
      </c>
      <c r="C103" s="9" t="inlineStr">
        <is>
          <t>34階</t>
        </is>
      </c>
      <c r="D103" s="9" t="inlineStr">
        <is>
          <t>文言</t>
        </is>
      </c>
      <c r="E103" s="9" t="inlineStr">
        <is>
          <t>【文言】キッチン加熱機器：IH（小田急HP、写真09で確認）／分譲時はガスコンロ。ディスポーザーは分譲時仕様のみ確認のため設備チェックに入れていない。</t>
        </is>
      </c>
    </row>
    <row r="104">
      <c r="A104" s="9" t="inlineStr">
        <is>
          <t>03</t>
        </is>
      </c>
      <c r="B104" s="9" t="inlineStr">
        <is>
          <t>シティタワー高輪</t>
        </is>
      </c>
      <c r="C104" s="9" t="inlineStr">
        <is>
          <t>34階</t>
        </is>
      </c>
      <c r="D104" s="9" t="inlineStr">
        <is>
          <t>文言</t>
        </is>
      </c>
      <c r="E104" s="9" t="inlineStr">
        <is>
          <t>【文言】写真で許可済みのものがない部位：洋室、浴室、洗面室、トイレ、シャワールーム、バルコニー。洋室・浴室・洗面・バルコニーはSUUMO掲載（元付がポータルに掲載したカット。元付HPには未掲載）のみのため images_pending_permission に置いた。</t>
        </is>
      </c>
    </row>
    <row r="105">
      <c r="A105" s="9" t="inlineStr">
        <is>
          <t>03</t>
        </is>
      </c>
      <c r="B105" s="9" t="inlineStr">
        <is>
          <t>シティタワー高輪</t>
        </is>
      </c>
      <c r="C105" s="9" t="inlineStr">
        <is>
          <t>34階</t>
        </is>
      </c>
      <c r="D105" s="9" t="inlineStr">
        <is>
          <t>文言</t>
        </is>
      </c>
      <c r="E105" s="9" t="inlineStr">
        <is>
          <t>【文言】写真の写り込み文字：上記2点のほか、images の写真に禁止語・他社名・社内向けの文字はない（目視確認）。要許可側のVVVHOMES由来4枚には透かしあり（"watermark": true）。</t>
        </is>
      </c>
    </row>
    <row r="106">
      <c r="A106" s="9" t="inlineStr">
        <is>
          <t>03</t>
        </is>
      </c>
      <c r="B106" s="9" t="inlineStr">
        <is>
          <t>シティタワー高輪</t>
        </is>
      </c>
      <c r="C106" s="9" t="inlineStr">
        <is>
          <t>34階</t>
        </is>
      </c>
      <c r="D106" s="9" t="inlineStr">
        <is>
          <t>推測入力</t>
        </is>
      </c>
      <c r="E106" s="9" t="inlineStr">
        <is>
          <t>写真13（住戸前スペース）は「玄関(7)」、写真12（玄関ホール）は「その他内観(38)」、畳コーナーは「和室(22)」とした。</t>
        </is>
      </c>
    </row>
    <row r="107">
      <c r="A107" s="9" t="inlineStr">
        <is>
          <t>03</t>
        </is>
      </c>
      <c r="B107" s="9" t="inlineStr">
        <is>
          <t>シティタワー高輪</t>
        </is>
      </c>
      <c r="C107" s="9" t="inlineStr">
        <is>
          <t>34階</t>
        </is>
      </c>
      <c r="D107" s="9" t="inlineStr">
        <is>
          <t>推測入力</t>
        </is>
      </c>
      <c r="E107" s="9" t="inlineStr">
        <is>
          <t>共用部：グランドロビー・エントランスラウンジは「ロビー(44)」、フォーマルゲート・敷地内通路・ラウンジ・シアター・茶室は「その他共用部分(19)」。</t>
        </is>
      </c>
    </row>
    <row r="108">
      <c r="A108" s="9" t="inlineStr">
        <is>
          <t>03</t>
        </is>
      </c>
      <c r="B108" s="9" t="inlineStr">
        <is>
          <t>シティタワー高輪</t>
        </is>
      </c>
      <c r="C108" s="9" t="inlineStr">
        <is>
          <t>34階</t>
        </is>
      </c>
      <c r="D108" s="9" t="inlineStr">
        <is>
          <t>推測入力</t>
        </is>
      </c>
      <c r="E108" s="9" t="inlineStr">
        <is>
          <t>要許可の洋室4枚がBedroom①〜④のどれかは特定できない。</t>
        </is>
      </c>
    </row>
    <row r="109">
      <c r="A109" s="9" t="inlineStr">
        <is>
          <t>03</t>
        </is>
      </c>
      <c r="B109" s="9" t="inlineStr">
        <is>
          <t>シティタワー高輪</t>
        </is>
      </c>
      <c r="C109" s="9" t="inlineStr">
        <is>
          <t>34階</t>
        </is>
      </c>
      <c r="D109" s="9" t="inlineStr">
        <is>
          <t>推測入力</t>
        </is>
      </c>
      <c r="E109" s="9" t="inlineStr">
        <is>
          <t>リビング写真の「オーク材の床」「天然石の柱・壁」は小田急HP店長コメント（オーク材・天然石）と写真からの表現。</t>
        </is>
      </c>
    </row>
    <row r="110">
      <c r="A110" s="9" t="inlineStr">
        <is>
          <t>03</t>
        </is>
      </c>
      <c r="B110" s="9" t="inlineStr">
        <is>
          <t>シティタワー高輪</t>
        </is>
      </c>
      <c r="C110" s="9" t="inlineStr">
        <is>
          <t>34階</t>
        </is>
      </c>
      <c r="D110" s="9" t="inlineStr">
        <is>
          <t>推測入力</t>
        </is>
      </c>
      <c r="E110" s="9" t="inlineStr">
        <is>
          <t>「東京湾方面まで見通せる」は小田急HP店長コメント（東側の東京湾）に基づく表現。</t>
        </is>
      </c>
    </row>
    <row r="111">
      <c r="A111" s="9" t="inlineStr">
        <is>
          <t>03</t>
        </is>
      </c>
      <c r="B111" s="9" t="inlineStr">
        <is>
          <t>シティタワー高輪</t>
        </is>
      </c>
      <c r="C111" s="9" t="inlineStr">
        <is>
          <t>34階</t>
        </is>
      </c>
      <c r="D111" s="9" t="inlineStr">
        <is>
          <t>推測入力</t>
        </is>
      </c>
      <c r="E111" s="9" t="inlineStr">
        <is>
          <t>コメントの表現（暮らしのイメージ部分）は写真と図面からの推測を含む。</t>
        </is>
      </c>
    </row>
    <row r="112">
      <c r="A112" s="9" t="inlineStr">
        <is>
          <t>04</t>
        </is>
      </c>
      <c r="B112" s="9" t="inlineStr">
        <is>
          <t>パークコート赤坂ザタワー</t>
        </is>
      </c>
      <c r="C112" s="9" t="inlineStr">
        <is>
          <t>4307号室</t>
        </is>
      </c>
      <c r="D112" s="9" t="inlineStr">
        <is>
          <t>数値（図面値で入力）</t>
        </is>
      </c>
      <c r="E112" s="9" t="inlineStr">
        <is>
          <t>【数値・図面値で入力】総戸数：図面値521戸で入力（他の値：518戸＝三井公式・分譲時リリース・港区。図面にも内訳「住宅518戸・他店舗3戸」の記載があり、コメントは「521戸（住宅518戸）」と併記）</t>
        </is>
      </c>
    </row>
    <row r="113">
      <c r="A113" s="9" t="inlineStr">
        <is>
          <t>04</t>
        </is>
      </c>
      <c r="B113" s="9" t="inlineStr">
        <is>
          <t>パークコート赤坂ザタワー</t>
        </is>
      </c>
      <c r="C113" s="9" t="inlineStr">
        <is>
          <t>4307号室</t>
        </is>
      </c>
      <c r="D113" s="9" t="inlineStr">
        <is>
          <t>数値（図面値で入力）</t>
        </is>
      </c>
      <c r="E113" s="9" t="inlineStr">
        <is>
          <t>【数値・図面値で入力】専有面積：図面値218.19㎡で入力（他の値：218.09㎡＝リンネ新築時価格表）。壁芯・内法の別は図面に記載なし</t>
        </is>
      </c>
    </row>
    <row r="114">
      <c r="A114" s="9" t="inlineStr">
        <is>
          <t>04</t>
        </is>
      </c>
      <c r="B114" s="9" t="inlineStr">
        <is>
          <t>パークコート赤坂ザタワー</t>
        </is>
      </c>
      <c r="C114" s="9" t="inlineStr">
        <is>
          <t>4307号室</t>
        </is>
      </c>
      <c r="D114" s="9" t="inlineStr">
        <is>
          <t>数値（図面値で入力）</t>
        </is>
      </c>
      <c r="E114" s="9" t="inlineStr">
        <is>
          <t>【数値・図面値で入力】交通：図面値 赤坂8分・青山一丁目9分・赤坂見附9分で入力（他の値：赤坂9分・青山一丁目10分・赤坂見附（丸ノ内線）11分＝KEN）</t>
        </is>
      </c>
    </row>
    <row r="115">
      <c r="A115" s="9" t="inlineStr">
        <is>
          <t>04</t>
        </is>
      </c>
      <c r="B115" s="9" t="inlineStr">
        <is>
          <t>パークコート赤坂ザタワー</t>
        </is>
      </c>
      <c r="C115" s="9" t="inlineStr">
        <is>
          <t>4307号室</t>
        </is>
      </c>
      <c r="D115" s="9" t="inlineStr">
        <is>
          <t>数値（図面値で入力）</t>
        </is>
      </c>
      <c r="E115" s="9" t="inlineStr">
        <is>
          <t>【数値・図面値で入力】駐車場台数：図面値324台で入力（他の値：330台＝港区 事業概要）</t>
        </is>
      </c>
    </row>
    <row r="116">
      <c r="A116" s="9" t="inlineStr">
        <is>
          <t>04</t>
        </is>
      </c>
      <c r="B116" s="9" t="inlineStr">
        <is>
          <t>パークコート赤坂ザタワー</t>
        </is>
      </c>
      <c r="C116" s="9" t="inlineStr">
        <is>
          <t>4307号室</t>
        </is>
      </c>
      <c r="D116" s="9" t="inlineStr">
        <is>
          <t>数値（図面値で入力）</t>
        </is>
      </c>
      <c r="E116" s="9" t="inlineStr">
        <is>
          <t>【数値・図面値で入力】駐車場使用料：図面値160,000円（平置2台分）で入力（他の値：80,000円×2区画＝公式PDF 2021年3月作成。合計は一致。現行額は管理会社で確認推奨）</t>
        </is>
      </c>
    </row>
    <row r="117">
      <c r="A117" s="9" t="inlineStr">
        <is>
          <t>04</t>
        </is>
      </c>
      <c r="B117" s="9" t="inlineStr">
        <is>
          <t>パークコート赤坂ザタワー</t>
        </is>
      </c>
      <c r="C117" s="9" t="inlineStr">
        <is>
          <t>4307号室</t>
        </is>
      </c>
      <c r="D117" s="9" t="inlineStr">
        <is>
          <t>数値（図面値で入力）</t>
        </is>
      </c>
      <c r="E117" s="9" t="inlineStr">
        <is>
          <t>【数値・図面値で入力】価格188,000万円の税区分が図面に記載なし（売主は法人。税込か否かを元付に確認）</t>
        </is>
      </c>
    </row>
    <row r="118">
      <c r="A118" s="9" t="inlineStr">
        <is>
          <t>04</t>
        </is>
      </c>
      <c r="B118" s="9" t="inlineStr">
        <is>
          <t>パークコート赤坂ザタワー</t>
        </is>
      </c>
      <c r="C118" s="9" t="inlineStr">
        <is>
          <t>4307号室</t>
        </is>
      </c>
      <c r="D118" s="9" t="inlineStr">
        <is>
          <t>数値（図面値で入力）</t>
        </is>
      </c>
      <c r="E118" s="9" t="inlineStr">
        <is>
          <t>【数値・図面値で入力】周辺施設距離（図面に記載なし）：赤坂サカス約500m（三井公式）／約280m（ノムコム）・約750m（MR）、高橋是清翁記念公園 約700m（三井公式）／約350m（MR）→ 三井公式値を採用</t>
        </is>
      </c>
    </row>
    <row r="119">
      <c r="A119" s="9" t="inlineStr">
        <is>
          <t>04</t>
        </is>
      </c>
      <c r="B119" s="9" t="inlineStr">
        <is>
          <t>パークコート赤坂ザタワー</t>
        </is>
      </c>
      <c r="C119" s="9" t="inlineStr">
        <is>
          <t>4307号室</t>
        </is>
      </c>
      <c r="D119" s="9" t="inlineStr">
        <is>
          <t>文言</t>
        </is>
      </c>
      <c r="E119" s="9" t="inlineStr">
        <is>
          <t>【文言】図面に「広告掲載 全面不可」の表記あり（依頼者より承諾取得済との指示あり）。出稿前に承諾の範囲（ポータル可否）を最終確認</t>
        </is>
      </c>
    </row>
    <row r="120">
      <c r="A120" s="9" t="inlineStr">
        <is>
          <t>04</t>
        </is>
      </c>
      <c r="B120" s="9" t="inlineStr">
        <is>
          <t>パークコート赤坂ザタワー</t>
        </is>
      </c>
      <c r="C120" s="9" t="inlineStr">
        <is>
          <t>4307号室</t>
        </is>
      </c>
      <c r="D120" s="9" t="inlineStr">
        <is>
          <t>文言</t>
        </is>
      </c>
      <c r="E120" s="9" t="inlineStr">
        <is>
          <t>【文言】構造：鉄筋コンクリート造（図面 A-p09）／鉄筋コンクリート造一部鉄骨造（分譲時リリース・Wikipedia・MR）→ 図面どおり入力</t>
        </is>
      </c>
    </row>
    <row r="121">
      <c r="A121" s="9" t="inlineStr">
        <is>
          <t>04</t>
        </is>
      </c>
      <c r="B121" s="9" t="inlineStr">
        <is>
          <t>パークコート赤坂ザタワー</t>
        </is>
      </c>
      <c r="C121" s="9" t="inlineStr">
        <is>
          <t>4307号室</t>
        </is>
      </c>
      <c r="D121" s="9" t="inlineStr">
        <is>
          <t>文言</t>
        </is>
      </c>
      <c r="E121" s="9" t="inlineStr">
        <is>
          <t>【文言】間取り：3LDK（図面 A-p09）／2LDK（HOME'S不動産アーカイブ 2019年賃貸履歴＝リノベ前）→ 3LDKを入力</t>
        </is>
      </c>
    </row>
    <row r="122">
      <c r="A122" s="9" t="inlineStr">
        <is>
          <t>04</t>
        </is>
      </c>
      <c r="B122" s="9" t="inlineStr">
        <is>
          <t>パークコート赤坂ザタワー</t>
        </is>
      </c>
      <c r="C122" s="9" t="inlineStr">
        <is>
          <t>4307号室</t>
        </is>
      </c>
      <c r="D122" s="9" t="inlineStr">
        <is>
          <t>文言</t>
        </is>
      </c>
      <c r="E122" s="9" t="inlineStr">
        <is>
          <t>【文言】制震／免震：制震構造（分譲時リリース・KEN・プラザ）／免震構造（MR備考）→ 制震構造でコメント作成</t>
        </is>
      </c>
    </row>
    <row r="123">
      <c r="A123" s="9" t="inlineStr">
        <is>
          <t>04</t>
        </is>
      </c>
      <c r="B123" s="9" t="inlineStr">
        <is>
          <t>パークコート赤坂ザタワー</t>
        </is>
      </c>
      <c r="C123" s="9" t="inlineStr">
        <is>
          <t>4307号室</t>
        </is>
      </c>
      <c r="D123" s="9" t="inlineStr">
        <is>
          <t>文言</t>
        </is>
      </c>
      <c r="E123" s="9" t="inlineStr">
        <is>
          <t>【文言】セキュリティ：4重（分譲時リリース）／5重（プラザ）→ 4重でコメント作成</t>
        </is>
      </c>
    </row>
    <row r="124">
      <c r="A124" s="9" t="inlineStr">
        <is>
          <t>04</t>
        </is>
      </c>
      <c r="B124" s="9" t="inlineStr">
        <is>
          <t>パークコート赤坂ザタワー</t>
        </is>
      </c>
      <c r="C124" s="9" t="inlineStr">
        <is>
          <t>4307号室</t>
        </is>
      </c>
      <c r="D124" s="9" t="inlineStr">
        <is>
          <t>文言</t>
        </is>
      </c>
      <c r="E124" s="9" t="inlineStr">
        <is>
          <t>【文言】管理員勤務：日勤（図面）／警備員による24時間有人管理（分譲時リリース）→ 掲載文では「24時間有人管理」を使わず、Yahoo概要のみ分譲時資料として併記</t>
        </is>
      </c>
    </row>
    <row r="125">
      <c r="A125" s="9" t="inlineStr">
        <is>
          <t>04</t>
        </is>
      </c>
      <c r="B125" s="9" t="inlineStr">
        <is>
          <t>パークコート赤坂ザタワー</t>
        </is>
      </c>
      <c r="C125" s="9" t="inlineStr">
        <is>
          <t>4307号室</t>
        </is>
      </c>
      <c r="D125" s="9" t="inlineStr">
        <is>
          <t>文言</t>
        </is>
      </c>
      <c r="E125" s="9" t="inlineStr">
        <is>
          <t>【文言】現況・引渡時期・家具の扱いが図面に記載なし（元付に確認）</t>
        </is>
      </c>
    </row>
    <row r="126">
      <c r="A126" s="9" t="inlineStr">
        <is>
          <t>04</t>
        </is>
      </c>
      <c r="B126" s="9" t="inlineStr">
        <is>
          <t>パークコート赤坂ザタワー</t>
        </is>
      </c>
      <c r="C126" s="9" t="inlineStr">
        <is>
          <t>4307号室</t>
        </is>
      </c>
      <c r="D126" s="9" t="inlineStr">
        <is>
          <t>文言</t>
        </is>
      </c>
      <c r="E126" s="9" t="inlineStr">
        <is>
          <t>【文言】内見は売主立会い・事前アンケート提出が条件（図面）。客付条件として備考に記載済</t>
        </is>
      </c>
    </row>
    <row r="127">
      <c r="A127" s="9" t="inlineStr">
        <is>
          <t>04</t>
        </is>
      </c>
      <c r="B127" s="9" t="inlineStr">
        <is>
          <t>パークコート赤坂ザタワー</t>
        </is>
      </c>
      <c r="C127" s="9" t="inlineStr">
        <is>
          <t>4307号室</t>
        </is>
      </c>
      <c r="D127" s="9" t="inlineStr">
        <is>
          <t>文言</t>
        </is>
      </c>
      <c r="E127" s="9" t="inlineStr">
        <is>
          <t>【文言】元付の免許番号・会社代表TELは図面に記載なし（図面の連絡先は担当者携帯）</t>
        </is>
      </c>
    </row>
    <row r="128">
      <c r="A128" s="9" t="inlineStr">
        <is>
          <t>04</t>
        </is>
      </c>
      <c r="B128" s="9" t="inlineStr">
        <is>
          <t>パークコート赤坂ザタワー</t>
        </is>
      </c>
      <c r="C128" s="9" t="inlineStr">
        <is>
          <t>4307号室</t>
        </is>
      </c>
      <c r="D128" s="9" t="inlineStr">
        <is>
          <t>文言</t>
        </is>
      </c>
      <c r="E128" s="9" t="inlineStr">
        <is>
          <t>【文言】ペット可否は図面に記載なし（ポータルでは規約制限あり・相談）。設備チェックの「ペット可」は付けず、備考は「管理規約をご確認ください」とした</t>
        </is>
      </c>
    </row>
    <row r="129">
      <c r="A129" s="9" t="inlineStr">
        <is>
          <t>04</t>
        </is>
      </c>
      <c r="B129" s="9" t="inlineStr">
        <is>
          <t>パークコート赤坂ザタワー</t>
        </is>
      </c>
      <c r="C129" s="9" t="inlineStr">
        <is>
          <t>4307号室</t>
        </is>
      </c>
      <c r="D129" s="9" t="inlineStr">
        <is>
          <t>文言</t>
        </is>
      </c>
      <c r="E129" s="9" t="inlineStr">
        <is>
          <t>【文言】許可済み画像は図面由来の眺望・間取図の2枚のみ。1枚目は外観がないため眺望とした。外観・共用部は分譲会社公式（31mansion.com）・他社掲載由来のため要許可</t>
        </is>
      </c>
    </row>
    <row r="130">
      <c r="A130" s="9" t="inlineStr">
        <is>
          <t>04</t>
        </is>
      </c>
      <c r="B130" s="9" t="inlineStr">
        <is>
          <t>パークコート赤坂ザタワー</t>
        </is>
      </c>
      <c r="C130" s="9" t="inlineStr">
        <is>
          <t>4307号室</t>
        </is>
      </c>
      <c r="D130" s="9" t="inlineStr">
        <is>
          <t>文言</t>
        </is>
      </c>
      <c r="E130" s="9" t="inlineStr">
        <is>
          <t>【文言】床暖房・ディスポーザー・浴室乾燥機はリノベ後の有無が未確認のため入力していない</t>
        </is>
      </c>
    </row>
    <row r="131">
      <c r="A131" s="9" t="inlineStr">
        <is>
          <t>04</t>
        </is>
      </c>
      <c r="B131" s="9" t="inlineStr">
        <is>
          <t>パークコート赤坂ザタワー</t>
        </is>
      </c>
      <c r="C131" s="9" t="inlineStr">
        <is>
          <t>4307号室</t>
        </is>
      </c>
      <c r="D131" s="9" t="inlineStr">
        <is>
          <t>文言</t>
        </is>
      </c>
      <c r="E131" s="9" t="inlineStr">
        <is>
          <t>【文言】「最上階」は図面の「43階最上階」「地上43階建」表記に基づき使用</t>
        </is>
      </c>
    </row>
    <row r="132">
      <c r="A132" s="9" t="inlineStr">
        <is>
          <t>04</t>
        </is>
      </c>
      <c r="B132" s="9" t="inlineStr">
        <is>
          <t>パークコート赤坂ザタワー</t>
        </is>
      </c>
      <c r="C132" s="9" t="inlineStr">
        <is>
          <t>4307号室</t>
        </is>
      </c>
      <c r="D132" s="9" t="inlineStr">
        <is>
          <t>推測入力</t>
        </is>
      </c>
      <c r="E132" s="9" t="inlineStr">
        <is>
          <t>設備チェック「エレベーター」：地上43階建のため（図面）</t>
        </is>
      </c>
    </row>
    <row r="133">
      <c r="A133" s="9" t="inlineStr">
        <is>
          <t>04</t>
        </is>
      </c>
      <c r="B133" s="9" t="inlineStr">
        <is>
          <t>パークコート赤坂ザタワー</t>
        </is>
      </c>
      <c r="C133" s="9" t="inlineStr">
        <is>
          <t>4307号室</t>
        </is>
      </c>
      <c r="D133" s="9" t="inlineStr">
        <is>
          <t>推測入力</t>
        </is>
      </c>
      <c r="E133" s="9" t="inlineStr">
        <is>
          <t>設備チェック「オートロック」：分譲時リリースのIC認証・4重セキュリティ、リバブルのダブルオートロック記載から</t>
        </is>
      </c>
    </row>
    <row r="134">
      <c r="A134" s="9" t="inlineStr">
        <is>
          <t>04</t>
        </is>
      </c>
      <c r="B134" s="9" t="inlineStr">
        <is>
          <t>パークコート赤坂ザタワー</t>
        </is>
      </c>
      <c r="C134" s="9" t="inlineStr">
        <is>
          <t>4307号室</t>
        </is>
      </c>
      <c r="D134" s="9" t="inlineStr">
        <is>
          <t>推測入力</t>
        </is>
      </c>
      <c r="E134" s="9" t="inlineStr">
        <is>
          <t>設備チェック「宅配ボックス」：KEN・リハウス（ポータル）の記載から</t>
        </is>
      </c>
    </row>
    <row r="135">
      <c r="A135" s="9" t="inlineStr">
        <is>
          <t>04</t>
        </is>
      </c>
      <c r="B135" s="9" t="inlineStr">
        <is>
          <t>パークコート赤坂ザタワー</t>
        </is>
      </c>
      <c r="C135" s="9" t="inlineStr">
        <is>
          <t>4307号室</t>
        </is>
      </c>
      <c r="D135" s="9" t="inlineStr">
        <is>
          <t>推測入力</t>
        </is>
      </c>
      <c r="E135" s="9" t="inlineStr">
        <is>
          <t>向き「北」：図面の方位記号と窓・バルコニー位置から判断（物件情報.md④）。HOME'Sアーカイブの賃貸履歴も北</t>
        </is>
      </c>
    </row>
    <row r="136">
      <c r="A136" s="9" t="inlineStr">
        <is>
          <t>04</t>
        </is>
      </c>
      <c r="B136" s="9" t="inlineStr">
        <is>
          <t>パークコート赤坂ザタワー</t>
        </is>
      </c>
      <c r="C136" s="9" t="inlineStr">
        <is>
          <t>4307号室</t>
        </is>
      </c>
      <c r="D136" s="9" t="inlineStr">
        <is>
          <t>推測入力</t>
        </is>
      </c>
      <c r="E136" s="9" t="inlineStr">
        <is>
          <t>画像 01_眺望.jpg のカテゴリ：写真の内容（赤坂御用地の緑と新宿方面の街並み）から「現地からの眺望」とした</t>
        </is>
      </c>
    </row>
    <row r="137">
      <c r="A137" s="9" t="inlineStr">
        <is>
          <t>04</t>
        </is>
      </c>
      <c r="B137" s="9" t="inlineStr">
        <is>
          <t>パークコート赤坂ザタワー</t>
        </is>
      </c>
      <c r="C137" s="9" t="inlineStr">
        <is>
          <t>4307号室</t>
        </is>
      </c>
      <c r="D137" s="9" t="inlineStr">
        <is>
          <t>推測入力</t>
        </is>
      </c>
      <c r="E137" s="9" t="inlineStr">
        <is>
          <t>設備チェック「防犯カメラ」「内廊下」「24時間ゴミ出し可」「トランクルーム」「オール電化」：物件情報.md⑥の根拠付き候補から追加（ポータル・分譲時資料）</t>
        </is>
      </c>
    </row>
    <row r="138">
      <c r="A138" s="9" t="inlineStr">
        <is>
          <t>04</t>
        </is>
      </c>
      <c r="B138" s="9" t="inlineStr">
        <is>
          <t>パークコート赤坂ザタワー</t>
        </is>
      </c>
      <c r="C138" s="9" t="inlineStr">
        <is>
          <t>4307号室</t>
        </is>
      </c>
      <c r="D138" s="9" t="inlineStr">
        <is>
          <t>推測入力</t>
        </is>
      </c>
      <c r="E138" s="9" t="inlineStr">
        <is>
          <t>設備チェック「防犯カメラ」「内廊下」「24時間ゴミ出し可」「トランクルーム」「オール電化」：物件情報.md⑥の根拠付き候補から追加（ポータル・分譲時資料）</t>
        </is>
      </c>
    </row>
    <row r="139">
      <c r="A139" s="9" t="inlineStr">
        <is>
          <t>04</t>
        </is>
      </c>
      <c r="B139" s="9" t="inlineStr">
        <is>
          <t>パークコート赤坂ザタワー</t>
        </is>
      </c>
      <c r="C139" s="9" t="inlineStr">
        <is>
          <t>4307号室</t>
        </is>
      </c>
      <c r="D139" s="9" t="inlineStr">
        <is>
          <t>推測入力</t>
        </is>
      </c>
      <c r="E139" s="9" t="inlineStr">
        <is>
          <t>設備チェック「防犯カメラ」「内廊下」「24時間ゴミ出し可」「トランクルーム」「オール電化」：物件情報.md⑥の根拠付き候補から追加（ポータル・分譲時資料）</t>
        </is>
      </c>
    </row>
    <row r="140">
      <c r="A140" s="9" t="inlineStr">
        <is>
          <t>04</t>
        </is>
      </c>
      <c r="B140" s="9" t="inlineStr">
        <is>
          <t>パークコート赤坂ザタワー</t>
        </is>
      </c>
      <c r="C140" s="9" t="inlineStr">
        <is>
          <t>4307号室</t>
        </is>
      </c>
      <c r="D140" s="9" t="inlineStr">
        <is>
          <t>推測入力</t>
        </is>
      </c>
      <c r="E140" s="9" t="inlineStr">
        <is>
          <t>設備チェック「防犯カメラ」「内廊下」「24時間ゴミ出し可」「トランクルーム」「オール電化」：物件情報.md⑥の根拠付き候補から追加（ポータル・分譲時資料）</t>
        </is>
      </c>
    </row>
    <row r="141">
      <c r="A141" s="9" t="inlineStr">
        <is>
          <t>05</t>
        </is>
      </c>
      <c r="B141" s="9" t="inlineStr">
        <is>
          <t>レフィール南麻布</t>
        </is>
      </c>
      <c r="C141" s="9" t="inlineStr">
        <is>
          <t>3-4階</t>
        </is>
      </c>
      <c r="D141" s="9" t="inlineStr">
        <is>
          <t>数値（図面値で入力）</t>
        </is>
      </c>
      <c r="E141" s="9" t="inlineStr">
        <is>
          <t>【数値・図面値で入力】価格・専有面積・バルコニー・ルーフバルコニー・所在階・階建・総戸数・築年月・管理費・修繕積立金・その他費用・駐車場料金・駅徒歩分数はすべて図面 A-p10 の値で入力済み（変更なし）。おすすめコメントの「約52㎡」を図面値「52.54㎡」に修正</t>
        </is>
      </c>
    </row>
    <row r="142">
      <c r="A142" s="9" t="inlineStr">
        <is>
          <t>05</t>
        </is>
      </c>
      <c r="B142" s="9" t="inlineStr">
        <is>
          <t>レフィール南麻布</t>
        </is>
      </c>
      <c r="C142" s="9" t="inlineStr">
        <is>
          <t>3-4階</t>
        </is>
      </c>
      <c r="D142" s="9" t="inlineStr">
        <is>
          <t>数値（図面値で入力）</t>
        </is>
      </c>
      <c r="E142" s="9" t="inlineStr">
        <is>
          <t>【数値・図面値で入力】その他費用の内訳：図面値 ルーフバルコニー10,000円・トランクルーム5,300円で入力（他の値：トランクルーム10,000円・ルーフバルコニー5,300円＝リハウス・REALIA。合計17,855円は一致）</t>
        </is>
      </c>
    </row>
    <row r="143">
      <c r="A143" s="9" t="inlineStr">
        <is>
          <t>05</t>
        </is>
      </c>
      <c r="B143" s="9" t="inlineStr">
        <is>
          <t>レフィール南麻布</t>
        </is>
      </c>
      <c r="C143" s="9" t="inlineStr">
        <is>
          <t>3-4階</t>
        </is>
      </c>
      <c r="D143" s="9" t="inlineStr">
        <is>
          <t>数値（図面値で入力）</t>
        </is>
      </c>
      <c r="E143" s="9" t="inlineStr">
        <is>
          <t>【数値・図面値で入力】総戸数：図面値18戸で入力（他の値：19戸＝MR・DH・ノムコム・住まい1、店舗含む）</t>
        </is>
      </c>
    </row>
    <row r="144">
      <c r="A144" s="9" t="inlineStr">
        <is>
          <t>05</t>
        </is>
      </c>
      <c r="B144" s="9" t="inlineStr">
        <is>
          <t>レフィール南麻布</t>
        </is>
      </c>
      <c r="C144" s="9" t="inlineStr">
        <is>
          <t>3-4階</t>
        </is>
      </c>
      <c r="D144" s="9" t="inlineStr">
        <is>
          <t>数値（図面値で入力）</t>
        </is>
      </c>
      <c r="E144" s="9" t="inlineStr">
        <is>
          <t>【数値・図面値で入力】築年月：図面値2020年2月で入力（他の値：2020年1月＝KEN・ノムコム・クレア）</t>
        </is>
      </c>
    </row>
    <row r="145">
      <c r="A145" s="9" t="inlineStr">
        <is>
          <t>05</t>
        </is>
      </c>
      <c r="B145" s="9" t="inlineStr">
        <is>
          <t>レフィール南麻布</t>
        </is>
      </c>
      <c r="C145" s="9" t="inlineStr">
        <is>
          <t>3-4階</t>
        </is>
      </c>
      <c r="D145" s="9" t="inlineStr">
        <is>
          <t>数値（図面値で入力）</t>
        </is>
      </c>
      <c r="E145" s="9" t="inlineStr">
        <is>
          <t>【数値・図面値で入力】所在階：図面「3・4階部分」。所在階欄は3階で入力（他の値：4階＝REALIA）。21Cloud上の表示方法を確認</t>
        </is>
      </c>
    </row>
    <row r="146">
      <c r="A146" s="9" t="inlineStr">
        <is>
          <t>05</t>
        </is>
      </c>
      <c r="B146" s="9" t="inlineStr">
        <is>
          <t>レフィール南麻布</t>
        </is>
      </c>
      <c r="C146" s="9" t="inlineStr">
        <is>
          <t>3-4階</t>
        </is>
      </c>
      <c r="D146" s="9" t="inlineStr">
        <is>
          <t>数値（図面値で入力）</t>
        </is>
      </c>
      <c r="E146" s="9" t="inlineStr">
        <is>
          <t>【数値・図面値で入力】駐車場料金55,000〜65,000円（図面）の税込／税抜が不明（クレアは税抜表記）。空き1台はリハウス2026年8月20日時点</t>
        </is>
      </c>
    </row>
    <row r="147">
      <c r="A147" s="9" t="inlineStr">
        <is>
          <t>05</t>
        </is>
      </c>
      <c r="B147" s="9" t="inlineStr">
        <is>
          <t>レフィール南麻布</t>
        </is>
      </c>
      <c r="C147" s="9" t="inlineStr">
        <is>
          <t>3-4階</t>
        </is>
      </c>
      <c r="D147" s="9" t="inlineStr">
        <is>
          <t>数値（図面値で入力）</t>
        </is>
      </c>
      <c r="E147" s="9" t="inlineStr">
        <is>
          <t>【数値・図面値で入力】間取り内訳の帖数（LD約30.0帖・主寝室約21.0帖等）は図面に記載がなく、REALIA掲載のリフォーム後間取図の値</t>
        </is>
      </c>
    </row>
    <row r="148">
      <c r="A148" s="9" t="inlineStr">
        <is>
          <t>05</t>
        </is>
      </c>
      <c r="B148" s="9" t="inlineStr">
        <is>
          <t>レフィール南麻布</t>
        </is>
      </c>
      <c r="C148" s="9" t="inlineStr">
        <is>
          <t>3-4階</t>
        </is>
      </c>
      <c r="D148" s="9" t="inlineStr">
        <is>
          <t>文言</t>
        </is>
      </c>
      <c r="E148" s="9" t="inlineStr">
        <is>
          <t>【文言】許可済み画像が0枚：元付（アンビションDX）の自社HPに物件ページなし、図面 A-p10に物件写真なし。掲載写真はすべて要許可（分譲会社公式・KEN・リハウス・REALIA）。出稿前に元付経由で使用許可の取得が必要</t>
        </is>
      </c>
    </row>
    <row r="149">
      <c r="A149" s="9" t="inlineStr">
        <is>
          <t>05</t>
        </is>
      </c>
      <c r="B149" s="9" t="inlineStr">
        <is>
          <t>レフィール南麻布</t>
        </is>
      </c>
      <c r="C149" s="9" t="inlineStr">
        <is>
          <t>3-4階</t>
        </is>
      </c>
      <c r="D149" s="9" t="inlineStr">
        <is>
          <t>文言</t>
        </is>
      </c>
      <c r="E149" s="9" t="inlineStr">
        <is>
          <t>【文言】向き：主要採光 南・ルーフバルコニー 北（図面 A-p10）／北（リハウス・REALIA）→ 図面どおり南を入力</t>
        </is>
      </c>
    </row>
    <row r="150">
      <c r="A150" s="9" t="inlineStr">
        <is>
          <t>05</t>
        </is>
      </c>
      <c r="B150" s="9" t="inlineStr">
        <is>
          <t>レフィール南麻布</t>
        </is>
      </c>
      <c r="C150" s="9" t="inlineStr">
        <is>
          <t>3-4階</t>
        </is>
      </c>
      <c r="D150" s="9" t="inlineStr">
        <is>
          <t>文言</t>
        </is>
      </c>
      <c r="E150" s="9" t="inlineStr">
        <is>
          <t>【文言】間取り表記：3SLDK＋2WIC＋UT＋SIC（図面 A-p10）／3LDK＋S＋2WIC＋SIC（REALIA現行図）・3LDK＋2WIC＋WIP＋SIC＋U（マンションマーケット過去売出）→ 図面表記を入力</t>
        </is>
      </c>
    </row>
    <row r="151">
      <c r="A151" s="9" t="inlineStr">
        <is>
          <t>05</t>
        </is>
      </c>
      <c r="B151" s="9" t="inlineStr">
        <is>
          <t>レフィール南麻布</t>
        </is>
      </c>
      <c r="C151" s="9" t="inlineStr">
        <is>
          <t>3-4階</t>
        </is>
      </c>
      <c r="D151" s="9" t="inlineStr">
        <is>
          <t>文言</t>
        </is>
      </c>
      <c r="E151" s="9" t="inlineStr">
        <is>
          <t>【文言】管理形態：全部委託・日勤（住まい1・MR・SUUMO）／24時間管理・コンシェルジュ24時間（Plaza・ブログ）→ 日勤＋コンシェルジュあり。24時間有人とは書いていない</t>
        </is>
      </c>
    </row>
    <row r="152">
      <c r="A152" s="9" t="inlineStr">
        <is>
          <t>05</t>
        </is>
      </c>
      <c r="B152" s="9" t="inlineStr">
        <is>
          <t>レフィール南麻布</t>
        </is>
      </c>
      <c r="C152" s="9" t="inlineStr">
        <is>
          <t>3-4階</t>
        </is>
      </c>
      <c r="D152" s="9" t="inlineStr">
        <is>
          <t>文言</t>
        </is>
      </c>
      <c r="E152" s="9" t="inlineStr">
        <is>
          <t>【文言】小学校区：本村小学校（港区公式）／白金の丘小学校（クレア）→ 本村小学校。中学校区は未確認</t>
        </is>
      </c>
    </row>
    <row r="153">
      <c r="A153" s="9" t="inlineStr">
        <is>
          <t>05</t>
        </is>
      </c>
      <c r="B153" s="9" t="inlineStr">
        <is>
          <t>レフィール南麻布</t>
        </is>
      </c>
      <c r="C153" s="9" t="inlineStr">
        <is>
          <t>3-4階</t>
        </is>
      </c>
      <c r="D153" s="9" t="inlineStr">
        <is>
          <t>文言</t>
        </is>
      </c>
      <c r="E153" s="9" t="inlineStr">
        <is>
          <t>【文言】図面の「駐車可能な可能性が高い車種」一覧はChatGPT抜粋との注記あり。広告に車種名は載せていない</t>
        </is>
      </c>
    </row>
    <row r="154">
      <c r="A154" s="9" t="inlineStr">
        <is>
          <t>05</t>
        </is>
      </c>
      <c r="B154" s="9" t="inlineStr">
        <is>
          <t>レフィール南麻布</t>
        </is>
      </c>
      <c r="C154" s="9" t="inlineStr">
        <is>
          <t>3-4階</t>
        </is>
      </c>
      <c r="D154" s="9" t="inlineStr">
        <is>
          <t>文言</t>
        </is>
      </c>
      <c r="E154" s="9" t="inlineStr">
        <is>
          <t>【文言】図面の手数料欄（6％＝仲介手数料3％＋業務委託料3％）は掲載文に記載していない</t>
        </is>
      </c>
    </row>
    <row r="155">
      <c r="A155" s="9" t="inlineStr">
        <is>
          <t>05</t>
        </is>
      </c>
      <c r="B155" s="9" t="inlineStr">
        <is>
          <t>レフィール南麻布</t>
        </is>
      </c>
      <c r="C155" s="9" t="inlineStr">
        <is>
          <t>3-4階</t>
        </is>
      </c>
      <c r="D155" s="9" t="inlineStr">
        <is>
          <t>文言</t>
        </is>
      </c>
      <c r="E155" s="9" t="inlineStr">
        <is>
          <t>【文言】家具は7/14設置済だが価格に含まれない（REALIA写真注記）。写真の家具を含む表現にしていない</t>
        </is>
      </c>
    </row>
    <row r="156">
      <c r="A156" s="9" t="inlineStr">
        <is>
          <t>05</t>
        </is>
      </c>
      <c r="B156" s="9" t="inlineStr">
        <is>
          <t>レフィール南麻布</t>
        </is>
      </c>
      <c r="C156" s="9" t="inlineStr">
        <is>
          <t>3-4階</t>
        </is>
      </c>
      <c r="D156" s="9" t="inlineStr">
        <is>
          <t>文言</t>
        </is>
      </c>
      <c r="E156" s="9" t="inlineStr">
        <is>
          <t>【文言】専有面積の壁芯・内法の別は図面に記載なし</t>
        </is>
      </c>
    </row>
    <row r="157">
      <c r="A157" s="9" t="inlineStr">
        <is>
          <t>05</t>
        </is>
      </c>
      <c r="B157" s="9" t="inlineStr">
        <is>
          <t>レフィール南麻布</t>
        </is>
      </c>
      <c r="C157" s="9" t="inlineStr">
        <is>
          <t>3-4階</t>
        </is>
      </c>
      <c r="D157" s="9" t="inlineStr">
        <is>
          <t>文言</t>
        </is>
      </c>
      <c r="E157" s="9" t="inlineStr">
        <is>
          <t>【文言】`3-4階/_参考_リフォーム前/` の間取図3枚はリフォーム前の間取りのため images・pending のどちらにも入れていない</t>
        </is>
      </c>
    </row>
    <row r="158">
      <c r="A158" s="9" t="inlineStr">
        <is>
          <t>05</t>
        </is>
      </c>
      <c r="B158" s="9" t="inlineStr">
        <is>
          <t>レフィール南麻布</t>
        </is>
      </c>
      <c r="C158" s="9" t="inlineStr">
        <is>
          <t>3-4階</t>
        </is>
      </c>
      <c r="D158" s="9" t="inlineStr">
        <is>
          <t>文言</t>
        </is>
      </c>
      <c r="E158" s="9" t="inlineStr">
        <is>
          <t>【文言】「最上階」は図面「地上4階建」「3・4階部分」に基づき「最上階の4階を含む」と表記</t>
        </is>
      </c>
    </row>
    <row r="159">
      <c r="A159" s="9" t="inlineStr">
        <is>
          <t>05</t>
        </is>
      </c>
      <c r="B159" s="9" t="inlineStr">
        <is>
          <t>レフィール南麻布</t>
        </is>
      </c>
      <c r="C159" s="9" t="inlineStr">
        <is>
          <t>3-4階</t>
        </is>
      </c>
      <c r="D159" s="9" t="inlineStr">
        <is>
          <t>文言</t>
        </is>
      </c>
      <c r="E159" s="9" t="inlineStr">
        <is>
          <t>【文言】浴室2か所・トイレ3か所はREALIA掲載の間取図・写真に基づく（図面に記載なし）</t>
        </is>
      </c>
    </row>
    <row r="160">
      <c r="A160" s="9" t="inlineStr">
        <is>
          <t>05</t>
        </is>
      </c>
      <c r="B160" s="9" t="inlineStr">
        <is>
          <t>レフィール南麻布</t>
        </is>
      </c>
      <c r="C160" s="9" t="inlineStr">
        <is>
          <t>3-4階</t>
        </is>
      </c>
      <c r="D160" s="9" t="inlineStr">
        <is>
          <t>推測入力</t>
        </is>
      </c>
      <c r="E160" s="9" t="inlineStr">
        <is>
          <t>設備チェック「エレベーター」「宅配ボックス」「24時間ゴミ出し可」「吹抜」「トイレ2か所以上・バス2か所」：物件情報.md①⑦のポータル記載・写真から</t>
        </is>
      </c>
    </row>
    <row r="161">
      <c r="A161" s="9" t="inlineStr">
        <is>
          <t>05</t>
        </is>
      </c>
      <c r="B161" s="9" t="inlineStr">
        <is>
          <t>レフィール南麻布</t>
        </is>
      </c>
      <c r="C161" s="9" t="inlineStr">
        <is>
          <t>3-4階</t>
        </is>
      </c>
      <c r="D161" s="9" t="inlineStr">
        <is>
          <t>推測入力</t>
        </is>
      </c>
      <c r="E161" s="9" t="inlineStr">
        <is>
          <t>所在階を「3」で入力：メゾネットの下階（図面「3・4階部分」）</t>
        </is>
      </c>
    </row>
    <row r="162">
      <c r="A162" s="9" t="inlineStr">
        <is>
          <t>05</t>
        </is>
      </c>
      <c r="B162" s="9" t="inlineStr">
        <is>
          <t>レフィール南麻布</t>
        </is>
      </c>
      <c r="C162" s="9" t="inlineStr">
        <is>
          <t>3-4階</t>
        </is>
      </c>
      <c r="D162" s="9" t="inlineStr">
        <is>
          <t>推測入力</t>
        </is>
      </c>
      <c r="E162" s="9" t="inlineStr">
        <is>
          <t>角部屋「中住戸」：新築時記事（物件情報.md④）から</t>
        </is>
      </c>
    </row>
    <row r="163">
      <c r="A163" s="9" t="inlineStr">
        <is>
          <t>05</t>
        </is>
      </c>
      <c r="B163" s="9" t="inlineStr">
        <is>
          <t>レフィール南麻布</t>
        </is>
      </c>
      <c r="C163" s="9" t="inlineStr">
        <is>
          <t>3-4階</t>
        </is>
      </c>
      <c r="D163" s="9" t="inlineStr">
        <is>
          <t>推測入力</t>
        </is>
      </c>
      <c r="E163" s="9" t="inlineStr">
        <is>
          <t>画像カテゴリ：リビング・ダイニング写真はリビング（4）、主寝室内WICは収納（12）、玄関前ホールはその他内観（38）、オートロック操作盤・宅配ボックス・ペット足洗い場はその他共用部分（19）とした</t>
        </is>
      </c>
    </row>
    <row r="164">
      <c r="A164" s="9" t="inlineStr">
        <is>
          <t>05</t>
        </is>
      </c>
      <c r="B164" s="9" t="inlineStr">
        <is>
          <t>レフィール南麻布</t>
        </is>
      </c>
      <c r="C164" s="9" t="inlineStr">
        <is>
          <t>3-4階</t>
        </is>
      </c>
      <c r="D164" s="9" t="inlineStr">
        <is>
          <t>推測入力</t>
        </is>
      </c>
      <c r="E164" s="9" t="inlineStr">
        <is>
          <t>コメント中の「静かな住宅街」「大使館が点在する高台」の表現は物件情報.md①（新築時記事・国土地理院標高）をもとにした言い換え</t>
        </is>
      </c>
    </row>
    <row r="165">
      <c r="A165" s="9" t="inlineStr">
        <is>
          <t>05</t>
        </is>
      </c>
      <c r="B165" s="9" t="inlineStr">
        <is>
          <t>レフィール南麻布</t>
        </is>
      </c>
      <c r="C165" s="9" t="inlineStr">
        <is>
          <t>3-4階</t>
        </is>
      </c>
      <c r="D165" s="9" t="inlineStr">
        <is>
          <t>推測入力</t>
        </is>
      </c>
      <c r="E165" s="9" t="inlineStr">
        <is>
          <t>設備チェック「ペット足洗い場（共用）」：KEN掲載写真（物件情報.md⑦）から追加</t>
        </is>
      </c>
    </row>
    <row r="166">
      <c r="A166" s="9" t="inlineStr">
        <is>
          <t>05</t>
        </is>
      </c>
      <c r="B166" s="9" t="inlineStr">
        <is>
          <t>レフィール南麻布</t>
        </is>
      </c>
      <c r="C166" s="9" t="inlineStr">
        <is>
          <t>3-4階</t>
        </is>
      </c>
      <c r="D166" s="9" t="inlineStr">
        <is>
          <t>推測入力</t>
        </is>
      </c>
      <c r="E166" s="9" t="inlineStr">
        <is>
          <t>設備チェック「ペット足洗い場（共用）」：KEN掲載写真（物件情報.md⑦）から追加</t>
        </is>
      </c>
    </row>
    <row r="167">
      <c r="A167" s="9" t="inlineStr">
        <is>
          <t>06</t>
        </is>
      </c>
      <c r="B167" s="9" t="inlineStr">
        <is>
          <t>アークヒルズ仙石山レジデンス</t>
        </is>
      </c>
      <c r="C167" s="9" t="inlineStr">
        <is>
          <t>18階</t>
        </is>
      </c>
      <c r="D167" s="9" t="inlineStr">
        <is>
          <t>数値（図面値で入力）</t>
        </is>
      </c>
      <c r="E167" s="9" t="inlineStr">
        <is>
          <t>【数値・図面値で入力】元付図面が2枚（A-p11 ハウジング・ジャパン／A-p12 三井不動産リアルティ）あり、いずれも本住戸（18階）の媒介図面。価格・専有面積・バルコニー・所在階・階建・総戸数・築年月・管理費・修繕積立金・月額合計は2枚一致。食い違う項目は写真の出典でもある元付HJの A-p11 を基本とし、A-p11が誤記・旧情報の項目のみ A-p12 を採用（各項目を下記に記載）</t>
        </is>
      </c>
    </row>
    <row r="168">
      <c r="A168" s="9" t="inlineStr">
        <is>
          <t>06</t>
        </is>
      </c>
      <c r="B168" s="9" t="inlineStr">
        <is>
          <t>アークヒルズ仙石山レジデンス</t>
        </is>
      </c>
      <c r="C168" s="9" t="inlineStr">
        <is>
          <t>18階</t>
        </is>
      </c>
      <c r="D168" s="9" t="inlineStr">
        <is>
          <t>数値（図面値で入力）</t>
        </is>
      </c>
      <c r="E168" s="9" t="inlineStr">
        <is>
          <t>【数値・図面値で入力】構造：図面値 SRC造（鉄骨鉄筋コンクリート造、A-p11・A-p12一致）に修正して入力（他の値：鉄筋コンクリート造一部鉄骨造＝森ビル公式・三井賃貸・HJ・MR）。Yahoo概要も図面値に修正</t>
        </is>
      </c>
    </row>
    <row r="169">
      <c r="A169" s="9" t="inlineStr">
        <is>
          <t>06</t>
        </is>
      </c>
      <c r="B169" s="9" t="inlineStr">
        <is>
          <t>アークヒルズ仙石山レジデンス</t>
        </is>
      </c>
      <c r="C169" s="9" t="inlineStr">
        <is>
          <t>18階</t>
        </is>
      </c>
      <c r="D169" s="9" t="inlineStr">
        <is>
          <t>数値（図面値で入力）</t>
        </is>
      </c>
      <c r="E169" s="9" t="inlineStr">
        <is>
          <t>【数値・図面値で入力】駐車場料金：A-p12の値（中型ハイルーフ55,000円・中型ノーマル50,000円、令和8年8月24日現在）を採用（他の値：44,000〜49,500円＝A-p11、44,000〜100,000円＝HJサイト）。日付の明記があるため。管理会社（森ビル）で現行料金を確認</t>
        </is>
      </c>
    </row>
    <row r="170">
      <c r="A170" s="9" t="inlineStr">
        <is>
          <t>06</t>
        </is>
      </c>
      <c r="B170" s="9" t="inlineStr">
        <is>
          <t>アークヒルズ仙石山レジデンス</t>
        </is>
      </c>
      <c r="C170" s="9" t="inlineStr">
        <is>
          <t>18階</t>
        </is>
      </c>
      <c r="D170" s="9" t="inlineStr">
        <is>
          <t>数値（図面値で入力）</t>
        </is>
      </c>
      <c r="E170" s="9" t="inlineStr">
        <is>
          <t>【数値・図面値で入力】敷地面積：A-p12の値15,367.75㎡を採用（他の値：15,367.5㎡・約719.20坪＝A-p11。坪数が㎡と整合しない誤記のため。森ビル公式も15,367.75㎡）</t>
        </is>
      </c>
    </row>
    <row r="171">
      <c r="A171" s="9" t="inlineStr">
        <is>
          <t>06</t>
        </is>
      </c>
      <c r="B171" s="9" t="inlineStr">
        <is>
          <t>アークヒルズ仙石山レジデンス</t>
        </is>
      </c>
      <c r="C171" s="9" t="inlineStr">
        <is>
          <t>18階</t>
        </is>
      </c>
      <c r="D171" s="9" t="inlineStr">
        <is>
          <t>数値（図面値で入力）</t>
        </is>
      </c>
      <c r="E171" s="9" t="inlineStr">
        <is>
          <t>【数値・図面値で入力】溜池山王駅：A-p11の値 徒歩10分で入力（他の値：徒歩15分＝HJサイト。A-p12は記載なし）</t>
        </is>
      </c>
    </row>
    <row r="172">
      <c r="A172" s="9" t="inlineStr">
        <is>
          <t>06</t>
        </is>
      </c>
      <c r="B172" s="9" t="inlineStr">
        <is>
          <t>アークヒルズ仙石山レジデンス</t>
        </is>
      </c>
      <c r="C172" s="9" t="inlineStr">
        <is>
          <t>18階</t>
        </is>
      </c>
      <c r="D172" s="9" t="inlineStr">
        <is>
          <t>数値（図面値で入力）</t>
        </is>
      </c>
      <c r="E172" s="9" t="inlineStr">
        <is>
          <t>【数値・図面値で入力】交通分数：図面値 六本木一丁目4分・神谷町6分で入力（他の値：六本木一丁目3番出口6分・神谷町5番出口5分＝森ビル公式、5分・7分＝三井賃貸）</t>
        </is>
      </c>
    </row>
    <row r="173">
      <c r="A173" s="9" t="inlineStr">
        <is>
          <t>06</t>
        </is>
      </c>
      <c r="B173" s="9" t="inlineStr">
        <is>
          <t>アークヒルズ仙石山レジデンス</t>
        </is>
      </c>
      <c r="C173" s="9" t="inlineStr">
        <is>
          <t>18階</t>
        </is>
      </c>
      <c r="D173" s="9" t="inlineStr">
        <is>
          <t>数値（図面値で入力）</t>
        </is>
      </c>
      <c r="E173" s="9" t="inlineStr">
        <is>
          <t>【数値・図面値で入力】管理費：図面値134,830円で入力（他の値：125,780円＝HJサイト、項目入替表示）</t>
        </is>
      </c>
    </row>
    <row r="174">
      <c r="A174" s="9" t="inlineStr">
        <is>
          <t>06</t>
        </is>
      </c>
      <c r="B174" s="9" t="inlineStr">
        <is>
          <t>アークヒルズ仙石山レジデンス</t>
        </is>
      </c>
      <c r="C174" s="9" t="inlineStr">
        <is>
          <t>18階</t>
        </is>
      </c>
      <c r="D174" s="9" t="inlineStr">
        <is>
          <t>数値（図面値で入力）</t>
        </is>
      </c>
      <c r="E174" s="9" t="inlineStr">
        <is>
          <t>【数値・図面値で入力】階数：図面値 地上47階・地下4階で入力（他の値：地上48階＝都環境局2017年）</t>
        </is>
      </c>
    </row>
    <row r="175">
      <c r="A175" s="9" t="inlineStr">
        <is>
          <t>06</t>
        </is>
      </c>
      <c r="B175" s="9" t="inlineStr">
        <is>
          <t>アークヒルズ仙石山レジデンス</t>
        </is>
      </c>
      <c r="C175" s="9" t="inlineStr">
        <is>
          <t>18階</t>
        </is>
      </c>
      <c r="D175" s="9" t="inlineStr">
        <is>
          <t>数値（図面値で入力）</t>
        </is>
      </c>
      <c r="E175" s="9" t="inlineStr">
        <is>
          <t>【数値・図面値で入力】総戸数：図面値243戸で入力（他の値：276戸＝三井のリハウス ライブラリー・MR、別棟含むとみられる）</t>
        </is>
      </c>
    </row>
    <row r="176">
      <c r="A176" s="9" t="inlineStr">
        <is>
          <t>06</t>
        </is>
      </c>
      <c r="B176" s="9" t="inlineStr">
        <is>
          <t>アークヒルズ仙石山レジデンス</t>
        </is>
      </c>
      <c r="C176" s="9" t="inlineStr">
        <is>
          <t>18階</t>
        </is>
      </c>
      <c r="D176" s="9" t="inlineStr">
        <is>
          <t>数値（図面値で入力）</t>
        </is>
      </c>
      <c r="E176" s="9" t="inlineStr">
        <is>
          <t>【数値・図面値で入力】専有面積：図面値210.31㎡（壁芯）で入力（他の値：210.30sqm＝HJ英文本文）</t>
        </is>
      </c>
    </row>
    <row r="177">
      <c r="A177" s="9" t="inlineStr">
        <is>
          <t>06</t>
        </is>
      </c>
      <c r="B177" s="9" t="inlineStr">
        <is>
          <t>アークヒルズ仙石山レジデンス</t>
        </is>
      </c>
      <c r="C177" s="9" t="inlineStr">
        <is>
          <t>18階</t>
        </is>
      </c>
      <c r="D177" s="9" t="inlineStr">
        <is>
          <t>文言</t>
        </is>
      </c>
      <c r="E177" s="9" t="inlineStr">
        <is>
          <t>【文言】所在地：六本木1-9-18（A-p11 HJ・森ビル公式）／六本木1丁目9-10（A-p12 三井＝複合棟全体の所在）→ A-p11の9-18を入力</t>
        </is>
      </c>
    </row>
    <row r="178">
      <c r="A178" s="9" t="inlineStr">
        <is>
          <t>06</t>
        </is>
      </c>
      <c r="B178" s="9" t="inlineStr">
        <is>
          <t>アークヒルズ仙石山レジデンス</t>
        </is>
      </c>
      <c r="C178" s="9" t="inlineStr">
        <is>
          <t>18階</t>
        </is>
      </c>
      <c r="D178" s="9" t="inlineStr">
        <is>
          <t>文言</t>
        </is>
      </c>
      <c r="E178" s="9" t="inlineStr">
        <is>
          <t>【文言】耐震・制震：「耐震構造」採用（A-p12）／制震（ブレーキダンパー・粘性体制震壁＝森ビル公式）→ 一部コメントで「制震装置を採用」と記載（制震は耐震と矛盾しない）。気になる場合は該当文を削除</t>
        </is>
      </c>
    </row>
    <row r="179">
      <c r="A179" s="9" t="inlineStr">
        <is>
          <t>06</t>
        </is>
      </c>
      <c r="B179" s="9" t="inlineStr">
        <is>
          <t>アークヒルズ仙石山レジデンス</t>
        </is>
      </c>
      <c r="C179" s="9" t="inlineStr">
        <is>
          <t>18階</t>
        </is>
      </c>
      <c r="D179" s="9" t="inlineStr">
        <is>
          <t>文言</t>
        </is>
      </c>
      <c r="E179" s="9" t="inlineStr">
        <is>
          <t>【文言】コンロ種別：「●ＩＨ」（A-p11テキスト）／ガスコンロ（HJ掲載キッチン写真・CreaVision設備欄）→ 設備チェック・コメントともコンロ種別は入れていない（画像コメントは「5口のコンロ」とのみ記載）。元付に確認</t>
        </is>
      </c>
    </row>
    <row r="180">
      <c r="A180" s="9" t="inlineStr">
        <is>
          <t>06</t>
        </is>
      </c>
      <c r="B180" s="9" t="inlineStr">
        <is>
          <t>アークヒルズ仙石山レジデンス</t>
        </is>
      </c>
      <c r="C180" s="9" t="inlineStr">
        <is>
          <t>18階</t>
        </is>
      </c>
      <c r="D180" s="9" t="inlineStr">
        <is>
          <t>文言</t>
        </is>
      </c>
      <c r="E180" s="9" t="inlineStr">
        <is>
          <t>【文言】ポーター／ドアマン：ポーターサービス（A-p11）／ドアマン（森ビル公式）→ コメントでは記載を控えた</t>
        </is>
      </c>
    </row>
    <row r="181">
      <c r="A181" s="9" t="inlineStr">
        <is>
          <t>06</t>
        </is>
      </c>
      <c r="B181" s="9" t="inlineStr">
        <is>
          <t>アークヒルズ仙石山レジデンス</t>
        </is>
      </c>
      <c r="C181" s="9" t="inlineStr">
        <is>
          <t>18階</t>
        </is>
      </c>
      <c r="D181" s="9" t="inlineStr">
        <is>
          <t>文言</t>
        </is>
      </c>
      <c r="E181" s="9" t="inlineStr">
        <is>
          <t>【文言】A-p11の「手数料0.5％（税込）出し」表記は掲載文に記載していない</t>
        </is>
      </c>
    </row>
    <row r="182">
      <c r="A182" s="9" t="inlineStr">
        <is>
          <t>06</t>
        </is>
      </c>
      <c r="B182" s="9" t="inlineStr">
        <is>
          <t>アークヒルズ仙石山レジデンス</t>
        </is>
      </c>
      <c r="C182" s="9" t="inlineStr">
        <is>
          <t>18階</t>
        </is>
      </c>
      <c r="D182" s="9" t="inlineStr">
        <is>
          <t>文言</t>
        </is>
      </c>
      <c r="E182" s="9" t="inlineStr">
        <is>
          <t>【文言】バルコニー使用料・リフォーム履歴・室内設備メーカーは図面に記載なし（未確認）</t>
        </is>
      </c>
    </row>
    <row r="183">
      <c r="A183" s="9" t="inlineStr">
        <is>
          <t>06</t>
        </is>
      </c>
      <c r="B183" s="9" t="inlineStr">
        <is>
          <t>アークヒルズ仙石山レジデンス</t>
        </is>
      </c>
      <c r="C183" s="9" t="inlineStr">
        <is>
          <t>18階</t>
        </is>
      </c>
      <c r="D183" s="9" t="inlineStr">
        <is>
          <t>文言</t>
        </is>
      </c>
      <c r="E183" s="9" t="inlineStr">
        <is>
          <t>【文言】トイレの写真なし（HJ・図面とも未掲載）</t>
        </is>
      </c>
    </row>
    <row r="184">
      <c r="A184" s="9" t="inlineStr">
        <is>
          <t>06</t>
        </is>
      </c>
      <c r="B184" s="9" t="inlineStr">
        <is>
          <t>アークヒルズ仙石山レジデンス</t>
        </is>
      </c>
      <c r="C184" s="9" t="inlineStr">
        <is>
          <t>18階</t>
        </is>
      </c>
      <c r="D184" s="9" t="inlineStr">
        <is>
          <t>推測入力</t>
        </is>
      </c>
      <c r="E184" s="9" t="inlineStr">
        <is>
          <t>設備チェック「宅配ボックス」「オートロック」：物件情報.md①（森ビル公式・三井賃貸）の記載から</t>
        </is>
      </c>
    </row>
    <row r="185">
      <c r="A185" s="9" t="inlineStr">
        <is>
          <t>06</t>
        </is>
      </c>
      <c r="B185" s="9" t="inlineStr">
        <is>
          <t>アークヒルズ仙石山レジデンス</t>
        </is>
      </c>
      <c r="C185" s="9" t="inlineStr">
        <is>
          <t>18階</t>
        </is>
      </c>
      <c r="D185" s="9" t="inlineStr">
        <is>
          <t>推測入力</t>
        </is>
      </c>
      <c r="E185" s="9" t="inlineStr">
        <is>
          <t>画像カテゴリ：写真11〜19は間取図の各居室のどれかを特定できないため、主寝室と断定せず「洋室」（21）とした</t>
        </is>
      </c>
    </row>
    <row r="186">
      <c r="A186" s="9" t="inlineStr">
        <is>
          <t>06</t>
        </is>
      </c>
      <c r="B186" s="9" t="inlineStr">
        <is>
          <t>アークヒルズ仙石山レジデンス</t>
        </is>
      </c>
      <c r="C186" s="9" t="inlineStr">
        <is>
          <t>18階</t>
        </is>
      </c>
      <c r="D186" s="9" t="inlineStr">
        <is>
          <t>推測入力</t>
        </is>
      </c>
      <c r="E186" s="9" t="inlineStr">
        <is>
          <t>画像 02_眺望.jpg のコメント「麻布台ヒルズの緑」：写真右下の緑化屋根の低層建物を麻布台ヒルズと判断（隣接地）</t>
        </is>
      </c>
    </row>
    <row r="187">
      <c r="A187" s="9" t="inlineStr">
        <is>
          <t>06</t>
        </is>
      </c>
      <c r="B187" s="9" t="inlineStr">
        <is>
          <t>アークヒルズ仙石山レジデンス</t>
        </is>
      </c>
      <c r="C187" s="9" t="inlineStr">
        <is>
          <t>18階</t>
        </is>
      </c>
      <c r="D187" s="9" t="inlineStr">
        <is>
          <t>推測入力</t>
        </is>
      </c>
      <c r="E187" s="9" t="inlineStr">
        <is>
          <t>画像 共用部/07・08_ラウンジ：施設名の記載がなく、25階ビューラウンジかは断定せず「ラウンジ」と記載</t>
        </is>
      </c>
    </row>
    <row r="188">
      <c r="A188" s="9" t="inlineStr">
        <is>
          <t>06</t>
        </is>
      </c>
      <c r="B188" s="9" t="inlineStr">
        <is>
          <t>アークヒルズ仙石山レジデンス</t>
        </is>
      </c>
      <c r="C188" s="9" t="inlineStr">
        <is>
          <t>18階</t>
        </is>
      </c>
      <c r="D188" s="9" t="inlineStr">
        <is>
          <t>推測入力</t>
        </is>
      </c>
      <c r="E188" s="9" t="inlineStr">
        <is>
          <t>コメント中の「2つのヒルズを生活圏に」等の表現は物件情報.md③（森ビル公式）をもとにした言い換え</t>
        </is>
      </c>
    </row>
    <row r="189">
      <c r="A189" s="9" t="inlineStr">
        <is>
          <t>06</t>
        </is>
      </c>
      <c r="B189" s="9" t="inlineStr">
        <is>
          <t>アークヒルズ仙石山レジデンス</t>
        </is>
      </c>
      <c r="C189" s="9" t="inlineStr">
        <is>
          <t>18階</t>
        </is>
      </c>
      <c r="D189" s="9" t="inlineStr">
        <is>
          <t>推測入力</t>
        </is>
      </c>
      <c r="E189" s="9" t="inlineStr">
        <is>
          <t>設備チェック「防犯カメラ」「システムキッチン」「駐輪場・バイク置場」「ペット足洗い場（共用）」：物件情報.md①⑥の根拠付き候補から追加</t>
        </is>
      </c>
    </row>
    <row r="190">
      <c r="A190" s="9" t="inlineStr">
        <is>
          <t>06</t>
        </is>
      </c>
      <c r="B190" s="9" t="inlineStr">
        <is>
          <t>アークヒルズ仙石山レジデンス</t>
        </is>
      </c>
      <c r="C190" s="9" t="inlineStr">
        <is>
          <t>18階</t>
        </is>
      </c>
      <c r="D190" s="9" t="inlineStr">
        <is>
          <t>推測入力</t>
        </is>
      </c>
      <c r="E190" s="9" t="inlineStr">
        <is>
          <t>画像 01_外観.jpg の中央の塔を本物件（アークヒルズ仙石山森タワー）と判断：上層部の形状と元付HJ掲載写真であることから</t>
        </is>
      </c>
    </row>
    <row r="191">
      <c r="A191" s="9" t="inlineStr">
        <is>
          <t>06</t>
        </is>
      </c>
      <c r="B191" s="9" t="inlineStr">
        <is>
          <t>アークヒルズ仙石山レジデンス</t>
        </is>
      </c>
      <c r="C191" s="9" t="inlineStr">
        <is>
          <t>18階</t>
        </is>
      </c>
      <c r="D191" s="9" t="inlineStr">
        <is>
          <t>推測入力</t>
        </is>
      </c>
      <c r="E191" s="9" t="inlineStr">
        <is>
          <t>設備チェック「防犯カメラ」「システムキッチン」「駐輪場・バイク置場」「ペット足洗い場（共用）」：物件情報.md①⑥の根拠付き候補から追加</t>
        </is>
      </c>
    </row>
    <row r="192">
      <c r="A192" s="9" t="inlineStr">
        <is>
          <t>06</t>
        </is>
      </c>
      <c r="B192" s="9" t="inlineStr">
        <is>
          <t>アークヒルズ仙石山レジデンス</t>
        </is>
      </c>
      <c r="C192" s="9" t="inlineStr">
        <is>
          <t>18階</t>
        </is>
      </c>
      <c r="D192" s="9" t="inlineStr">
        <is>
          <t>推測入力</t>
        </is>
      </c>
      <c r="E192" s="9" t="inlineStr">
        <is>
          <t>画像 01_外観.jpg の中央の塔を本物件（アークヒルズ仙石山森タワー）と判断：上層部の形状と元付HJ掲載写真であることから</t>
        </is>
      </c>
    </row>
    <row r="193">
      <c r="A193" s="9" t="inlineStr">
        <is>
          <t>06</t>
        </is>
      </c>
      <c r="B193" s="9" t="inlineStr">
        <is>
          <t>アークヒルズ仙石山レジデンス</t>
        </is>
      </c>
      <c r="C193" s="9" t="inlineStr">
        <is>
          <t>18階</t>
        </is>
      </c>
      <c r="D193" s="9" t="inlineStr">
        <is>
          <t>推測入力</t>
        </is>
      </c>
      <c r="E193" s="9" t="inlineStr">
        <is>
          <t>設備チェック「防犯カメラ」「システムキッチン」「駐輪場・バイク置場」「ペット足洗い場（共用）」：物件情報.md①⑥の根拠付き候補から追加</t>
        </is>
      </c>
    </row>
    <row r="194">
      <c r="A194" s="9" t="inlineStr">
        <is>
          <t>06</t>
        </is>
      </c>
      <c r="B194" s="9" t="inlineStr">
        <is>
          <t>アークヒルズ仙石山レジデンス</t>
        </is>
      </c>
      <c r="C194" s="9" t="inlineStr">
        <is>
          <t>18階</t>
        </is>
      </c>
      <c r="D194" s="9" t="inlineStr">
        <is>
          <t>推測入力</t>
        </is>
      </c>
      <c r="E194" s="9" t="inlineStr">
        <is>
          <t>画像 01_外観.jpg の中央の塔を本物件（アークヒルズ仙石山森タワー）と判断：上層部の形状と元付HJ掲載写真であることから</t>
        </is>
      </c>
    </row>
    <row r="195">
      <c r="A195" s="9" t="inlineStr">
        <is>
          <t>07</t>
        </is>
      </c>
      <c r="B195" s="9" t="inlineStr">
        <is>
          <t>元麻布ヒルズフォレストタワー</t>
        </is>
      </c>
      <c r="C195" s="9" t="inlineStr">
        <is>
          <t>24階</t>
        </is>
      </c>
      <c r="D195" s="9" t="inlineStr">
        <is>
          <t>数値（図面値で入力）</t>
        </is>
      </c>
      <c r="E195" s="9" t="inlineStr">
        <is>
          <t>【数値・図面値で入力】交通 麻布十番駅：図面値で入力（他の値：徒歩8分＝MORI LIVING 概要〈7番出口〉）。basic・全コメントとも徒歩7分</t>
        </is>
      </c>
    </row>
    <row r="196">
      <c r="A196" s="9" t="inlineStr">
        <is>
          <t>07</t>
        </is>
      </c>
      <c r="B196" s="9" t="inlineStr">
        <is>
          <t>元麻布ヒルズフォレストタワー</t>
        </is>
      </c>
      <c r="C196" s="9" t="inlineStr">
        <is>
          <t>24階</t>
        </is>
      </c>
      <c r="D196" s="9" t="inlineStr">
        <is>
          <t>数値（図面値で入力）</t>
        </is>
      </c>
      <c r="E196" s="9" t="inlineStr">
        <is>
          <t>【数値・図面値で入力】総戸数：図面値で入力（他の値：180戸＝MORI LIVING 概要〈フォレストタワー棟のみ〉）。図面の222戸は元麻布ヒルズ3棟合計のため、コメントでは「元麻布ヒルズ全222戸」「総戸数222戸（元麻布ヒルズ全体）」と表記</t>
        </is>
      </c>
    </row>
    <row r="197">
      <c r="A197" s="9" t="inlineStr">
        <is>
          <t>07</t>
        </is>
      </c>
      <c r="B197" s="9" t="inlineStr">
        <is>
          <t>元麻布ヒルズフォレストタワー</t>
        </is>
      </c>
      <c r="C197" s="9" t="inlineStr">
        <is>
          <t>24階</t>
        </is>
      </c>
      <c r="D197" s="9" t="inlineStr">
        <is>
          <t>数値（図面値で入力）</t>
        </is>
      </c>
      <c r="E197" s="9" t="inlineStr">
        <is>
          <t>【数値・図面値で入力】地下階数：図面値で入力（他の値：地下3階＝森ビル公式・MORI LIVING）</t>
        </is>
      </c>
    </row>
    <row r="198">
      <c r="A198" s="9" t="inlineStr">
        <is>
          <t>07</t>
        </is>
      </c>
      <c r="B198" s="9" t="inlineStr">
        <is>
          <t>元麻布ヒルズフォレストタワー</t>
        </is>
      </c>
      <c r="C198" s="9" t="inlineStr">
        <is>
          <t>24階</t>
        </is>
      </c>
      <c r="D198" s="9" t="inlineStr">
        <is>
          <t>数値（図面値で入力）</t>
        </is>
      </c>
      <c r="E198" s="9" t="inlineStr">
        <is>
          <t>【数値・図面値で入力】敷地面積：図面値12,119.65㎡で入力（他の値：12,308.92㎡＝MORI LIVING／12,309㎡＝森ビル公式／12,380.37㎡実測＝同敷地のA-p14）。登記簿（敷地権の表示）で要確認</t>
        </is>
      </c>
    </row>
    <row r="199">
      <c r="A199" s="9" t="inlineStr">
        <is>
          <t>07</t>
        </is>
      </c>
      <c r="B199" s="9" t="inlineStr">
        <is>
          <t>元麻布ヒルズフォレストタワー</t>
        </is>
      </c>
      <c r="C199" s="9" t="inlineStr">
        <is>
          <t>24階</t>
        </is>
      </c>
      <c r="D199" s="9" t="inlineStr">
        <is>
          <t>数値（図面値で入力）</t>
        </is>
      </c>
      <c r="E199" s="9" t="inlineStr">
        <is>
          <t>【数値・図面値で入力】築年月：図面の西暦値2002年5月で入力（他の値：図面の和暦「平成24年」は誤記、正しくは平成14年＝森ビル公式）。和暦を使う欄は平成14年</t>
        </is>
      </c>
    </row>
    <row r="200">
      <c r="A200" s="9" t="inlineStr">
        <is>
          <t>07</t>
        </is>
      </c>
      <c r="B200" s="9" t="inlineStr">
        <is>
          <t>元麻布ヒルズフォレストタワー</t>
        </is>
      </c>
      <c r="C200" s="9" t="inlineStr">
        <is>
          <t>24階</t>
        </is>
      </c>
      <c r="D200" s="9" t="inlineStr">
        <is>
          <t>数値（図面値で入力）</t>
        </is>
      </c>
      <c r="E200" s="9" t="inlineStr">
        <is>
          <t>【数値・図面値で入力】駐輪場：図面「無（550〜1,100円）」の料金を入力（他の値：駐輪場あり＝MORI LIVING 施設一覧）。有無の表記が矛盾しているため料金・空きを元付に確認</t>
        </is>
      </c>
    </row>
    <row r="201">
      <c r="A201" s="9" t="inlineStr">
        <is>
          <t>07</t>
        </is>
      </c>
      <c r="B201" s="9" t="inlineStr">
        <is>
          <t>元麻布ヒルズフォレストタワー</t>
        </is>
      </c>
      <c r="C201" s="9" t="inlineStr">
        <is>
          <t>24階</t>
        </is>
      </c>
      <c r="D201" s="9" t="inlineStr">
        <is>
          <t>数値（図面値で入力）</t>
        </is>
      </c>
      <c r="E201" s="9" t="inlineStr">
        <is>
          <t>【数値・図面値で入力】用途地域：図面値（第一種中高層住居専用地域）で入力（他の値：第二種中高層住居専用地域＝同敷地のテラスイースト図面 A-p14）</t>
        </is>
      </c>
    </row>
    <row r="202">
      <c r="A202" s="9" t="inlineStr">
        <is>
          <t>07</t>
        </is>
      </c>
      <c r="B202" s="9" t="inlineStr">
        <is>
          <t>元麻布ヒルズフォレストタワー</t>
        </is>
      </c>
      <c r="C202" s="9" t="inlineStr">
        <is>
          <t>24階</t>
        </is>
      </c>
      <c r="D202" s="9" t="inlineStr">
        <is>
          <t>文言</t>
        </is>
      </c>
      <c r="E202" s="9" t="inlineStr">
        <is>
          <t>【文言】階と面積の組み合わせ：HOME'S建物アーカイブでは198.64㎡住戸は23階（北東）のみ記録、24階は193.18㎡・153.41㎡・153.5㎡。図面の「24階・198.64㎡」を元付に確認（物件情報.md⑦補足）</t>
        </is>
      </c>
    </row>
    <row r="203">
      <c r="A203" s="9" t="inlineStr">
        <is>
          <t>07</t>
        </is>
      </c>
      <c r="B203" s="9" t="inlineStr">
        <is>
          <t>元麻布ヒルズフォレストタワー</t>
        </is>
      </c>
      <c r="C203" s="9" t="inlineStr">
        <is>
          <t>24階</t>
        </is>
      </c>
      <c r="D203" s="9" t="inlineStr">
        <is>
          <t>文言</t>
        </is>
      </c>
      <c r="E203" s="9" t="inlineStr">
        <is>
          <t>【文言】向き：図面に方位表記なし。向きは空欄。元付に確認</t>
        </is>
      </c>
    </row>
    <row r="204">
      <c r="A204" s="9" t="inlineStr">
        <is>
          <t>07</t>
        </is>
      </c>
      <c r="B204" s="9" t="inlineStr">
        <is>
          <t>元麻布ヒルズフォレストタワー</t>
        </is>
      </c>
      <c r="C204" s="9" t="inlineStr">
        <is>
          <t>24階</t>
        </is>
      </c>
      <c r="D204" s="9" t="inlineStr">
        <is>
          <t>文言</t>
        </is>
      </c>
      <c r="E204" s="9" t="inlineStr">
        <is>
          <t>【文言】眺望写真（01_眺望.jpg）：販売図面の背景写真で撮影階の記載なし。画像コメントに「撮影階は図面に記載なし」と明記。当住戸からの眺望か元付に確認</t>
        </is>
      </c>
    </row>
    <row r="205">
      <c r="A205" s="9" t="inlineStr">
        <is>
          <t>07</t>
        </is>
      </c>
      <c r="B205" s="9" t="inlineStr">
        <is>
          <t>元麻布ヒルズフォレストタワー</t>
        </is>
      </c>
      <c r="C205" s="9" t="inlineStr">
        <is>
          <t>24階</t>
        </is>
      </c>
      <c r="D205" s="9" t="inlineStr">
        <is>
          <t>文言</t>
        </is>
      </c>
      <c r="E205" s="9" t="inlineStr">
        <is>
          <t>【文言】設備：図面「設備：別紙に記載」→別紙未入手。設備チェックは共用部・図面記載分のみ。床暖房・食洗機・ディスポーザー等は未選択</t>
        </is>
      </c>
    </row>
    <row r="206">
      <c r="A206" s="9" t="inlineStr">
        <is>
          <t>07</t>
        </is>
      </c>
      <c r="B206" s="9" t="inlineStr">
        <is>
          <t>元麻布ヒルズフォレストタワー</t>
        </is>
      </c>
      <c r="C206" s="9" t="inlineStr">
        <is>
          <t>24階</t>
        </is>
      </c>
      <c r="D206" s="9" t="inlineStr">
        <is>
          <t>文言</t>
        </is>
      </c>
      <c r="E206" s="9" t="inlineStr">
        <is>
          <t>【文言】取引態様 売主・図面上の表記「広告：不可」（依頼者より承諾取得済との指示）。司法書士は売主指定（備考に記載済み）</t>
        </is>
      </c>
    </row>
    <row r="207">
      <c r="A207" s="9" t="inlineStr">
        <is>
          <t>07</t>
        </is>
      </c>
      <c r="B207" s="9" t="inlineStr">
        <is>
          <t>元麻布ヒルズフォレストタワー</t>
        </is>
      </c>
      <c r="C207" s="9" t="inlineStr">
        <is>
          <t>24階</t>
        </is>
      </c>
      <c r="D207" s="9" t="inlineStr">
        <is>
          <t>文言</t>
        </is>
      </c>
      <c r="E207" s="9" t="inlineStr">
        <is>
          <t>【文言】画像：許可済みは図面由来の2枚（眺望・間取図）のみ。図面由来の外観（382×322px）は長辺400px未満のため要許可側へ移して保留。室内写真なし。他社掲載7枚は転載許可が取れるまで登録しない</t>
        </is>
      </c>
    </row>
    <row r="208">
      <c r="A208" s="9" t="inlineStr">
        <is>
          <t>07</t>
        </is>
      </c>
      <c r="B208" s="9" t="inlineStr">
        <is>
          <t>元麻布ヒルズフォレストタワー</t>
        </is>
      </c>
      <c r="C208" s="9" t="inlineStr">
        <is>
          <t>24階</t>
        </is>
      </c>
      <c r="D208" s="9" t="inlineStr">
        <is>
          <t>推測入力</t>
        </is>
      </c>
      <c r="E208" s="9" t="inlineStr">
        <is>
          <t>設備チェック「宅配ボックス」「内廊下」：ポータル（モダンスタンダード・HOME'S・恵比寿不動産）の記載のみを根拠に選択</t>
        </is>
      </c>
    </row>
    <row r="209">
      <c r="A209" s="9" t="inlineStr">
        <is>
          <t>07</t>
        </is>
      </c>
      <c r="B209" s="9" t="inlineStr">
        <is>
          <t>元麻布ヒルズフォレストタワー</t>
        </is>
      </c>
      <c r="C209" s="9" t="inlineStr">
        <is>
          <t>24階</t>
        </is>
      </c>
      <c r="D209" s="9" t="inlineStr">
        <is>
          <t>推測入力</t>
        </is>
      </c>
      <c r="E209" s="9" t="inlineStr">
        <is>
          <t>設備チェック「ラウンジ・プール・フィットネス」：MORI LIVINGの共用施設（スパは会員制・有料）を根拠に選択</t>
        </is>
      </c>
    </row>
    <row r="210">
      <c r="A210" s="9" t="inlineStr">
        <is>
          <t>07</t>
        </is>
      </c>
      <c r="B210" s="9" t="inlineStr">
        <is>
          <t>元麻布ヒルズフォレストタワー</t>
        </is>
      </c>
      <c r="C210" s="9" t="inlineStr">
        <is>
          <t>24階</t>
        </is>
      </c>
      <c r="D210" s="9" t="inlineStr">
        <is>
          <t>推測入力</t>
        </is>
      </c>
      <c r="E210" s="9" t="inlineStr">
        <is>
          <t>設備チェック「ユーティリティ」「収納（Closet）」：図面の間取図の室名表記を根拠に追加</t>
        </is>
      </c>
    </row>
    <row r="211">
      <c r="A211" s="9" t="inlineStr">
        <is>
          <t>07</t>
        </is>
      </c>
      <c r="B211" s="9" t="inlineStr">
        <is>
          <t>元麻布ヒルズフォレストタワー</t>
        </is>
      </c>
      <c r="C211" s="9" t="inlineStr">
        <is>
          <t>24階</t>
        </is>
      </c>
      <c r="D211" s="9" t="inlineStr">
        <is>
          <t>推測入力</t>
        </is>
      </c>
      <c r="E211" s="9" t="inlineStr">
        <is>
          <t>画像カテゴリ：外観2枚目以降・ゲート・スカイラウンジは専用値がないため19（その他共用部分）、フロントは44（ロビー）とした</t>
        </is>
      </c>
    </row>
    <row r="212">
      <c r="A212" s="9" t="inlineStr">
        <is>
          <t>07</t>
        </is>
      </c>
      <c r="B212" s="9" t="inlineStr">
        <is>
          <t>元麻布ヒルズフォレストタワー</t>
        </is>
      </c>
      <c r="C212" s="9" t="inlineStr">
        <is>
          <t>24階</t>
        </is>
      </c>
      <c r="D212" s="9" t="inlineStr">
        <is>
          <t>推測入力</t>
        </is>
      </c>
      <c r="E212" s="9" t="inlineStr">
        <is>
          <t>コメントの表現（「ご家族とゲストの動線を分けられます」「窓辺で夜景を眺めて一日を終えられます」等の暮らしのイメージ）</t>
        </is>
      </c>
    </row>
    <row r="213">
      <c r="A213" s="9" t="inlineStr">
        <is>
          <t>08</t>
        </is>
      </c>
      <c r="B213" s="9" t="inlineStr">
        <is>
          <t>元麻布ヒルズ フォレストテラスイースト</t>
        </is>
      </c>
      <c r="C213" s="9" t="inlineStr">
        <is>
          <t>3階</t>
        </is>
      </c>
      <c r="D213" s="9" t="inlineStr">
        <is>
          <t>数値（図面値で入力）</t>
        </is>
      </c>
      <c r="E213" s="9" t="inlineStr">
        <is>
          <t>【数値・図面値で入力】地上階数：図面値「地上5階/地下1階」で入力（他の値：地上6階・地下1階＝森ビル公式データシート・R.E.port）。登記で要確認</t>
        </is>
      </c>
    </row>
    <row r="214">
      <c r="A214" s="9" t="inlineStr">
        <is>
          <t>08</t>
        </is>
      </c>
      <c r="B214" s="9" t="inlineStr">
        <is>
          <t>元麻布ヒルズ フォレストテラスイースト</t>
        </is>
      </c>
      <c r="C214" s="9" t="inlineStr">
        <is>
          <t>3階</t>
        </is>
      </c>
      <c r="D214" s="9" t="inlineStr">
        <is>
          <t>数値（図面値で入力）</t>
        </is>
      </c>
      <c r="E214" s="9" t="inlineStr">
        <is>
          <t>【数値・図面値で入力】総戸数：図面値19戸で入力（他の値：23戸＝R.E.port竣工記事・Wikipedia・KEN建物説明文）。コメントも19戸で統一</t>
        </is>
      </c>
    </row>
    <row r="215">
      <c r="A215" s="9" t="inlineStr">
        <is>
          <t>08</t>
        </is>
      </c>
      <c r="B215" s="9" t="inlineStr">
        <is>
          <t>元麻布ヒルズ フォレストテラスイースト</t>
        </is>
      </c>
      <c r="C215" s="9" t="inlineStr">
        <is>
          <t>3階</t>
        </is>
      </c>
      <c r="D215" s="9" t="inlineStr">
        <is>
          <t>数値（図面値で入力）</t>
        </is>
      </c>
      <c r="E215" s="9" t="inlineStr">
        <is>
          <t>【数値・図面値で入力】敷地面積：図面値12,380.37㎡（実測）で入力（他の値：12,309㎡＝森ビル公式／12,119.65㎡＝同敷地のA-p13）。登記簿で要確認</t>
        </is>
      </c>
    </row>
    <row r="216">
      <c r="A216" s="9" t="inlineStr">
        <is>
          <t>08</t>
        </is>
      </c>
      <c r="B216" s="9" t="inlineStr">
        <is>
          <t>元麻布ヒルズ フォレストテラスイースト</t>
        </is>
      </c>
      <c r="C216" s="9" t="inlineStr">
        <is>
          <t>3階</t>
        </is>
      </c>
      <c r="D216" s="9" t="inlineStr">
        <is>
          <t>数値（図面値で入力）</t>
        </is>
      </c>
      <c r="E216" s="9" t="inlineStr">
        <is>
          <t>【数値・図面値で入力】用途地域：図面値（第二種中高層住居専用地域）で入力（他の値：第一種中高層住居専用地域＝同敷地のA-p13）</t>
        </is>
      </c>
    </row>
    <row r="217">
      <c r="A217" s="9" t="inlineStr">
        <is>
          <t>08</t>
        </is>
      </c>
      <c r="B217" s="9" t="inlineStr">
        <is>
          <t>元麻布ヒルズ フォレストテラスイースト</t>
        </is>
      </c>
      <c r="C217" s="9" t="inlineStr">
        <is>
          <t>3階</t>
        </is>
      </c>
      <c r="D217" s="9" t="inlineStr">
        <is>
          <t>数値（図面値で入力）</t>
        </is>
      </c>
      <c r="E217" s="9" t="inlineStr">
        <is>
          <t>【数値・図面値で入力】交通：図面は南北線「麻布十番」徒歩7分のみ。大江戸線「麻布十番」徒歩6分・日比谷線「広尾」徒歩13分は図面に値がないため元付の建物ページ記載値で補完（Yahoo!概要のみ使用、出典明記）</t>
        </is>
      </c>
    </row>
    <row r="218">
      <c r="A218" s="9" t="inlineStr">
        <is>
          <t>08</t>
        </is>
      </c>
      <c r="B218" s="9" t="inlineStr">
        <is>
          <t>元麻布ヒルズ フォレストテラスイースト</t>
        </is>
      </c>
      <c r="C218" s="9" t="inlineStr">
        <is>
          <t>3階</t>
        </is>
      </c>
      <c r="D218" s="9" t="inlineStr">
        <is>
          <t>文言</t>
        </is>
      </c>
      <c r="E218" s="9" t="inlineStr">
        <is>
          <t>【文言】管理会社：図面 A-p14は空欄／森ビル株式会社（元付の建物ページ・DH図鑑）。森ビルを入力済み。重要事項調査報告書で要確認</t>
        </is>
      </c>
    </row>
    <row r="219">
      <c r="A219" s="9" t="inlineStr">
        <is>
          <t>08</t>
        </is>
      </c>
      <c r="B219" s="9" t="inlineStr">
        <is>
          <t>元麻布ヒルズ フォレストテラスイースト</t>
        </is>
      </c>
      <c r="C219" s="9" t="inlineStr">
        <is>
          <t>3階</t>
        </is>
      </c>
      <c r="D219" s="9" t="inlineStr">
        <is>
          <t>文言</t>
        </is>
      </c>
      <c r="E219" s="9" t="inlineStr">
        <is>
          <t>【文言】バルコニー面積：図面・元付HPとも記載なし（同面積4階住戸は16.37㎡＝別住戸のため流用しない）。空欄。元付に確認</t>
        </is>
      </c>
    </row>
    <row r="220">
      <c r="A220" s="9" t="inlineStr">
        <is>
          <t>08</t>
        </is>
      </c>
      <c r="B220" s="9" t="inlineStr">
        <is>
          <t>元麻布ヒルズ フォレストテラスイースト</t>
        </is>
      </c>
      <c r="C220" s="9" t="inlineStr">
        <is>
          <t>3階</t>
        </is>
      </c>
      <c r="D220" s="9" t="inlineStr">
        <is>
          <t>文言</t>
        </is>
      </c>
      <c r="E220" s="9" t="inlineStr">
        <is>
          <t>【文言】キッチン：現行の間取図（冷蔵庫置場2か所＋島型）と、室内写真（壁付け＋半円テーブル＝2021年掲載と同じ画像）が合わない。改修済みか、写真が改修前か元付に確認。確認までは「リフォーム済」を付けない</t>
        </is>
      </c>
    </row>
    <row r="221">
      <c r="A221" s="9" t="inlineStr">
        <is>
          <t>08</t>
        </is>
      </c>
      <c r="B221" s="9" t="inlineStr">
        <is>
          <t>元麻布ヒルズ フォレストテラスイースト</t>
        </is>
      </c>
      <c r="C221" s="9" t="inlineStr">
        <is>
          <t>3階</t>
        </is>
      </c>
      <c r="D221" s="9" t="inlineStr">
        <is>
          <t>文言</t>
        </is>
      </c>
      <c r="E221" s="9" t="inlineStr">
        <is>
          <t>【文言】大規模修繕：元付HP「2025年1月から約2年間の予定」。2026年9月時点で工事中の可能性。進捗と外観写真との違いを確認</t>
        </is>
      </c>
    </row>
    <row r="222">
      <c r="A222" s="9" t="inlineStr">
        <is>
          <t>08</t>
        </is>
      </c>
      <c r="B222" s="9" t="inlineStr">
        <is>
          <t>元麻布ヒルズ フォレストテラスイースト</t>
        </is>
      </c>
      <c r="C222" s="9" t="inlineStr">
        <is>
          <t>3階</t>
        </is>
      </c>
      <c r="D222" s="9" t="inlineStr">
        <is>
          <t>文言</t>
        </is>
      </c>
      <c r="E222" s="9" t="inlineStr">
        <is>
          <t>【文言】価格の税区分：図面に記載なし</t>
        </is>
      </c>
    </row>
    <row r="223">
      <c r="A223" s="9" t="inlineStr">
        <is>
          <t>08</t>
        </is>
      </c>
      <c r="B223" s="9" t="inlineStr">
        <is>
          <t>元麻布ヒルズ フォレストテラスイースト</t>
        </is>
      </c>
      <c r="C223" s="9" t="inlineStr">
        <is>
          <t>3階</t>
        </is>
      </c>
      <c r="D223" s="9" t="inlineStr">
        <is>
          <t>文言</t>
        </is>
      </c>
      <c r="E223" s="9" t="inlineStr">
        <is>
          <t>【文言】免震：元付HPの設備欄に「免震構造」とあるが本棟の裏付けなし。設備チェック・コメントとも不使用</t>
        </is>
      </c>
    </row>
    <row r="224">
      <c r="A224" s="9" t="inlineStr">
        <is>
          <t>08</t>
        </is>
      </c>
      <c r="B224" s="9" t="inlineStr">
        <is>
          <t>元麻布ヒルズ フォレストテラスイースト</t>
        </is>
      </c>
      <c r="C224" s="9" t="inlineStr">
        <is>
          <t>3階</t>
        </is>
      </c>
      <c r="D224" s="9" t="inlineStr">
        <is>
          <t>文言</t>
        </is>
      </c>
      <c r="E224" s="9" t="inlineStr">
        <is>
          <t>【文言】スカイラウンジ（タワー棟28階）・スカイデッキ・元麻布ヒルズスパ（会員制）の本棟居住者の利用条件が未確認。コメントは「敷地内タワー棟」「入会別途」と明記</t>
        </is>
      </c>
    </row>
    <row r="225">
      <c r="A225" s="9" t="inlineStr">
        <is>
          <t>08</t>
        </is>
      </c>
      <c r="B225" s="9" t="inlineStr">
        <is>
          <t>元麻布ヒルズ フォレストテラスイースト</t>
        </is>
      </c>
      <c r="C225" s="9" t="inlineStr">
        <is>
          <t>3階</t>
        </is>
      </c>
      <c r="D225" s="9" t="inlineStr">
        <is>
          <t>文言</t>
        </is>
      </c>
      <c r="E225" s="9" t="inlineStr">
        <is>
          <t>【文言】画像：元付（Ken Corporation Ltd.）の透かし入り写真23枚は、依頼者指示（2026-09-28）により不使用（images_excluded）。掲載は販売図面から切り出した透かし無しの写真4枚のみ。追加写真は透かし無しの元データを元付に依頼するか、内覧時に撮影</t>
        </is>
      </c>
    </row>
    <row r="226">
      <c r="A226" s="9" t="inlineStr">
        <is>
          <t>08</t>
        </is>
      </c>
      <c r="B226" s="9" t="inlineStr">
        <is>
          <t>元麻布ヒルズ フォレストテラスイースト</t>
        </is>
      </c>
      <c r="C226" s="9" t="inlineStr">
        <is>
          <t>3階</t>
        </is>
      </c>
      <c r="D226" s="9" t="inlineStr">
        <is>
          <t>文言</t>
        </is>
      </c>
      <c r="E226" s="9" t="inlineStr">
        <is>
          <t>【文言】画像（07_エントランスホール）はクリスマスツリーが写る季節写真。掲載時期に合わせて差し替え検討</t>
        </is>
      </c>
    </row>
    <row r="227">
      <c r="A227" s="9" t="inlineStr">
        <is>
          <t>08</t>
        </is>
      </c>
      <c r="B227" s="9" t="inlineStr">
        <is>
          <t>元麻布ヒルズ フォレストテラスイースト</t>
        </is>
      </c>
      <c r="C227" s="9" t="inlineStr">
        <is>
          <t>3階</t>
        </is>
      </c>
      <c r="D227" s="9" t="inlineStr">
        <is>
          <t>文言</t>
        </is>
      </c>
      <c r="E227" s="9" t="inlineStr">
        <is>
          <t>【文言】室内設備：元付HPに洗濯機・乾燥機・冷蔵庫の記載あり。付帯設備か要確認（未入力）</t>
        </is>
      </c>
    </row>
    <row r="228">
      <c r="A228" s="9" t="inlineStr">
        <is>
          <t>08</t>
        </is>
      </c>
      <c r="B228" s="9" t="inlineStr">
        <is>
          <t>元麻布ヒルズ フォレストテラスイースト</t>
        </is>
      </c>
      <c r="C228" s="9" t="inlineStr">
        <is>
          <t>3階</t>
        </is>
      </c>
      <c r="D228" s="9" t="inlineStr">
        <is>
          <t>文言</t>
        </is>
      </c>
      <c r="E228" s="9" t="inlineStr">
        <is>
          <t>【文言】小学校区：港区立南山小学校の距離が元付HP内で約500m／約800mと食い違うため距離は空欄。中学校区は未確認</t>
        </is>
      </c>
    </row>
    <row r="229">
      <c r="A229" s="9" t="inlineStr">
        <is>
          <t>08</t>
        </is>
      </c>
      <c r="B229" s="9" t="inlineStr">
        <is>
          <t>元麻布ヒルズ フォレストテラスイースト</t>
        </is>
      </c>
      <c r="C229" s="9" t="inlineStr">
        <is>
          <t>3階</t>
        </is>
      </c>
      <c r="D229" s="9" t="inlineStr">
        <is>
          <t>推測入力</t>
        </is>
      </c>
      <c r="E229" s="9" t="inlineStr">
        <is>
          <t>設備チェック「プール・フィットネス」：本棟1階の会員制スパ（ヒルズスパ公式・入会別途）を根拠に選択</t>
        </is>
      </c>
    </row>
    <row r="230">
      <c r="A230" s="9" t="inlineStr">
        <is>
          <t>08</t>
        </is>
      </c>
      <c r="B230" s="9" t="inlineStr">
        <is>
          <t>元麻布ヒルズ フォレストテラスイースト</t>
        </is>
      </c>
      <c r="C230" s="9" t="inlineStr">
        <is>
          <t>3階</t>
        </is>
      </c>
      <c r="D230" s="9" t="inlineStr">
        <is>
          <t>推測入力</t>
        </is>
      </c>
      <c r="E230" s="9" t="inlineStr">
        <is>
          <t>設備チェック「閑静な住宅街」「低層マンション」：元付HP・図面特徴欄の記載を根拠に選択</t>
        </is>
      </c>
    </row>
    <row r="231">
      <c r="A231" s="9" t="inlineStr">
        <is>
          <t>08</t>
        </is>
      </c>
      <c r="B231" s="9" t="inlineStr">
        <is>
          <t>元麻布ヒルズ フォレストテラスイースト</t>
        </is>
      </c>
      <c r="C231" s="9" t="inlineStr">
        <is>
          <t>3階</t>
        </is>
      </c>
      <c r="D231" s="9" t="inlineStr">
        <is>
          <t>推測入力</t>
        </is>
      </c>
      <c r="E231" s="9" t="inlineStr">
        <is>
          <t>設備チェック「室内洗濯機置場」「ガスコンロ（4口）」「各階ゴミ置場」：元付HP（KEN住戸ページ）の設備欄を根拠に追加</t>
        </is>
      </c>
    </row>
    <row r="232">
      <c r="A232" s="9" t="inlineStr">
        <is>
          <t>08</t>
        </is>
      </c>
      <c r="B232" s="9" t="inlineStr">
        <is>
          <t>元麻布ヒルズ フォレストテラスイースト</t>
        </is>
      </c>
      <c r="C232" s="9" t="inlineStr">
        <is>
          <t>3階</t>
        </is>
      </c>
      <c r="D232" s="9" t="inlineStr">
        <is>
          <t>推測入力</t>
        </is>
      </c>
      <c r="E232" s="9" t="inlineStr">
        <is>
          <t>画像カテゴリ：外観2枚目以降・回廊・ゲート・パーゴラ・緑地は19（その他共用部分）とした</t>
        </is>
      </c>
    </row>
    <row r="233">
      <c r="A233" s="9" t="inlineStr">
        <is>
          <t>08</t>
        </is>
      </c>
      <c r="B233" s="9" t="inlineStr">
        <is>
          <t>元麻布ヒルズ フォレストテラスイースト</t>
        </is>
      </c>
      <c r="C233" s="9" t="inlineStr">
        <is>
          <t>3階</t>
        </is>
      </c>
      <c r="D233" s="9" t="inlineStr">
        <is>
          <t>推測入力</t>
        </is>
      </c>
      <c r="E233" s="9" t="inlineStr">
        <is>
          <t>画像コメントの暮らしのイメージ（「散策のような時間」「花見を楽しめる」等）と、写真から読み取った仕上げ（石張り・ウッドデッキ・2ボウル等）の表現</t>
        </is>
      </c>
    </row>
    <row r="234">
      <c r="A234" s="9" t="inlineStr">
        <is>
          <t>08</t>
        </is>
      </c>
      <c r="B234" s="9" t="inlineStr">
        <is>
          <t>元麻布ヒルズ フォレストテラスイースト</t>
        </is>
      </c>
      <c r="C234" s="9" t="inlineStr">
        <is>
          <t>3階</t>
        </is>
      </c>
      <c r="D234" s="9" t="inlineStr">
        <is>
          <t>推測入力</t>
        </is>
      </c>
      <c r="E234" s="9" t="inlineStr">
        <is>
          <t>眺望写真2枚は元付（KEN）の過去掲載だが、他社掲載フォルダの取り扱いに従い要許可側に入れた</t>
        </is>
      </c>
    </row>
    <row r="235">
      <c r="A235" s="9" t="inlineStr">
        <is>
          <t>09</t>
        </is>
      </c>
      <c r="B235" s="9" t="inlineStr">
        <is>
          <t>パークコート虎ノ門愛宕タワー</t>
        </is>
      </c>
      <c r="C235" s="9" t="inlineStr">
        <is>
          <t>29-30階</t>
        </is>
      </c>
      <c r="D235" s="9" t="inlineStr">
        <is>
          <t>数値（図面値で入力）</t>
        </is>
      </c>
      <c r="E235" s="9" t="inlineStr">
        <is>
          <t>【数値・図面値で入力】竣工年月：図面値2008年4月で入力（他の値：2008年6月＝ノムコム・東急リバブル・住友ステップ）</t>
        </is>
      </c>
    </row>
    <row r="236">
      <c r="A236" s="9" t="inlineStr">
        <is>
          <t>09</t>
        </is>
      </c>
      <c r="B236" s="9" t="inlineStr">
        <is>
          <t>パークコート虎ノ門愛宕タワー</t>
        </is>
      </c>
      <c r="C236" s="9" t="inlineStr">
        <is>
          <t>29-30階</t>
        </is>
      </c>
      <c r="D236" s="9" t="inlineStr">
        <is>
          <t>数値（図面値で入力）</t>
        </is>
      </c>
      <c r="E236" s="9" t="inlineStr">
        <is>
          <t>【数値・図面値で入力】交通：図面値で入力（他の値：虎ノ門ヒルズ駅 徒歩4分＝リハウス・ケン／御成門駅 徒歩8分＝リハウス・住友ステップ）</t>
        </is>
      </c>
    </row>
    <row r="237">
      <c r="A237" s="9" t="inlineStr">
        <is>
          <t>09</t>
        </is>
      </c>
      <c r="B237" s="9" t="inlineStr">
        <is>
          <t>パークコート虎ノ門愛宕タワー</t>
        </is>
      </c>
      <c r="C237" s="9" t="inlineStr">
        <is>
          <t>29-30階</t>
        </is>
      </c>
      <c r="D237" s="9" t="inlineStr">
        <is>
          <t>数値（図面値で入力）</t>
        </is>
      </c>
      <c r="E237" s="9" t="inlineStr">
        <is>
          <t>【数値・図面値で入力】敷地面積：図面値3,165.57㎡で入力（他の値：3,165.49㎡＝住友ステップ・東京タワーマンションズ）</t>
        </is>
      </c>
    </row>
    <row r="238">
      <c r="A238" s="9" t="inlineStr">
        <is>
          <t>09</t>
        </is>
      </c>
      <c r="B238" s="9" t="inlineStr">
        <is>
          <t>パークコート虎ノ門愛宕タワー</t>
        </is>
      </c>
      <c r="C238" s="9" t="inlineStr">
        <is>
          <t>29-30階</t>
        </is>
      </c>
      <c r="D238" s="9" t="inlineStr">
        <is>
          <t>文言</t>
        </is>
      </c>
      <c r="E238" s="9" t="inlineStr">
        <is>
          <t>【文言】管理形態：管理員日勤（図面 A-p15）／24時間有人管理・夜間セキュリティ待機（ケン・東急リバブル）。図面値を入力。コメントでは24時間有人管理を使っていない</t>
        </is>
      </c>
    </row>
    <row r="239">
      <c r="A239" s="9" t="inlineStr">
        <is>
          <t>09</t>
        </is>
      </c>
      <c r="B239" s="9" t="inlineStr">
        <is>
          <t>パークコート虎ノ門愛宕タワー</t>
        </is>
      </c>
      <c r="C239" s="9" t="inlineStr">
        <is>
          <t>29-30階</t>
        </is>
      </c>
      <c r="D239" s="9" t="inlineStr">
        <is>
          <t>文言</t>
        </is>
      </c>
      <c r="E239" s="9" t="inlineStr">
        <is>
          <t>【文言】ルーフバルコニー使用料：図面に記載なし。元付に確認</t>
        </is>
      </c>
    </row>
    <row r="240">
      <c r="A240" s="9" t="inlineStr">
        <is>
          <t>09</t>
        </is>
      </c>
      <c r="B240" s="9" t="inlineStr">
        <is>
          <t>パークコート虎ノ門愛宕タワー</t>
        </is>
      </c>
      <c r="C240" s="9" t="inlineStr">
        <is>
          <t>29-30階</t>
        </is>
      </c>
      <c r="D240" s="9" t="inlineStr">
        <is>
          <t>文言</t>
        </is>
      </c>
      <c r="E240" s="9" t="inlineStr">
        <is>
          <t>【文言】ペット：図面に記載なし。ポータル（長谷工・ノムコム・リハウス）で飼育可（細則）。basicには入力、コメント・設備チェックでは使っていない。規約で要確認</t>
        </is>
      </c>
    </row>
    <row r="241">
      <c r="A241" s="9" t="inlineStr">
        <is>
          <t>09</t>
        </is>
      </c>
      <c r="B241" s="9" t="inlineStr">
        <is>
          <t>パークコート虎ノ門愛宕タワー</t>
        </is>
      </c>
      <c r="C241" s="9" t="inlineStr">
        <is>
          <t>29-30階</t>
        </is>
      </c>
      <c r="D241" s="9" t="inlineStr">
        <is>
          <t>文言</t>
        </is>
      </c>
      <c r="E241" s="9" t="inlineStr">
        <is>
          <t>【文言】価格の税区分：図面に記載なし。元付TEL：図面に記載なし</t>
        </is>
      </c>
    </row>
    <row r="242">
      <c r="A242" s="9" t="inlineStr">
        <is>
          <t>09</t>
        </is>
      </c>
      <c r="B242" s="9" t="inlineStr">
        <is>
          <t>パークコート虎ノ門愛宕タワー</t>
        </is>
      </c>
      <c r="C242" s="9" t="inlineStr">
        <is>
          <t>29-30階</t>
        </is>
      </c>
      <c r="D242" s="9" t="inlineStr">
        <is>
          <t>文言</t>
        </is>
      </c>
      <c r="E242" s="9" t="inlineStr">
        <is>
          <t>【文言】外観写真：販売図面 A-p15 の外観（A_p15_img06_478x356.jpeg）を `共用部/00_外観_販売図面.jpg` にコピーし、json の file と photos.csv を更新済み</t>
        </is>
      </c>
    </row>
    <row r="243">
      <c r="A243" s="9" t="inlineStr">
        <is>
          <t>09</t>
        </is>
      </c>
      <c r="B243" s="9" t="inlineStr">
        <is>
          <t>パークコート虎ノ門愛宕タワー</t>
        </is>
      </c>
      <c r="C243" s="9" t="inlineStr">
        <is>
          <t>29-30階</t>
        </is>
      </c>
      <c r="D243" s="9" t="inlineStr">
        <is>
          <t>文言</t>
        </is>
      </c>
      <c r="E243" s="9" t="inlineStr">
        <is>
          <t>【文言】室内写真はすべて販売図面の埋め込み画像（約470px・黒い縁取り付き）。解像度が低いので元付に元データを依頼</t>
        </is>
      </c>
    </row>
    <row r="244">
      <c r="A244" s="9" t="inlineStr">
        <is>
          <t>09</t>
        </is>
      </c>
      <c r="B244" s="9" t="inlineStr">
        <is>
          <t>パークコート虎ノ門愛宕タワー</t>
        </is>
      </c>
      <c r="C244" s="9" t="inlineStr">
        <is>
          <t>29-30階</t>
        </is>
      </c>
      <c r="D244" s="9" t="inlineStr">
        <is>
          <t>文言</t>
        </is>
      </c>
      <c r="E244" s="9" t="inlineStr">
        <is>
          <t>【文言】写真に家具（ソファ・ベッド・ダイニングセット）が写っている。付帯の有無は図面に記載なし。コメントでは付帯をうたっていない</t>
        </is>
      </c>
    </row>
    <row r="245">
      <c r="A245" s="9" t="inlineStr">
        <is>
          <t>09</t>
        </is>
      </c>
      <c r="B245" s="9" t="inlineStr">
        <is>
          <t>パークコート虎ノ門愛宕タワー</t>
        </is>
      </c>
      <c r="C245" s="9" t="inlineStr">
        <is>
          <t>29-30階</t>
        </is>
      </c>
      <c r="D245" s="9" t="inlineStr">
        <is>
          <t>文言</t>
        </is>
      </c>
      <c r="E245" s="9" t="inlineStr">
        <is>
          <t>【文言】床暖房・食洗機・ディスポーザー・浴室換気乾燥機：ポータルでは分譲時の標準装備とされているが、当住戸の現況は未確認のため未選択</t>
        </is>
      </c>
    </row>
    <row r="246">
      <c r="A246" s="9" t="inlineStr">
        <is>
          <t>09</t>
        </is>
      </c>
      <c r="B246" s="9" t="inlineStr">
        <is>
          <t>パークコート虎ノ門愛宕タワー</t>
        </is>
      </c>
      <c r="C246" s="9" t="inlineStr">
        <is>
          <t>29-30階</t>
        </is>
      </c>
      <c r="D246" s="9" t="inlineStr">
        <is>
          <t>文言</t>
        </is>
      </c>
      <c r="E246" s="9" t="inlineStr">
        <is>
          <t>【文言】「風致地区」（図面キャッチコピー）：区域に入るかを港区公式で確認できていないため、コメントでは使っていない（「愛宕山の麓」は図面表記どおり使用）</t>
        </is>
      </c>
    </row>
    <row r="247">
      <c r="A247" s="9" t="inlineStr">
        <is>
          <t>09</t>
        </is>
      </c>
      <c r="B247" s="9" t="inlineStr">
        <is>
          <t>パークコート虎ノ門愛宕タワー</t>
        </is>
      </c>
      <c r="C247" s="9" t="inlineStr">
        <is>
          <t>29-30階</t>
        </is>
      </c>
      <c r="D247" s="9" t="inlineStr">
        <is>
          <t>文言</t>
        </is>
      </c>
      <c r="E247" s="9" t="inlineStr">
        <is>
          <t>【文言】リフォーム：図面の「Bath(2023)」は浴室サイズの表記と判断し、リフォームとしては扱っていない。同じマンションの別の29・30階住戸（168.23㎡・2024年5月リフォーム）の情報と混同しないこと</t>
        </is>
      </c>
    </row>
    <row r="248">
      <c r="A248" s="9" t="inlineStr">
        <is>
          <t>09</t>
        </is>
      </c>
      <c r="B248" s="9" t="inlineStr">
        <is>
          <t>パークコート虎ノ門愛宕タワー</t>
        </is>
      </c>
      <c r="C248" s="9" t="inlineStr">
        <is>
          <t>29-30階</t>
        </is>
      </c>
      <c r="D248" s="9" t="inlineStr">
        <is>
          <t>文言</t>
        </is>
      </c>
      <c r="E248" s="9" t="inlineStr">
        <is>
          <t>【文言】コンシェルジュ・プレミアムラウンジ・ゲストルーム・制震・二重床はポータル／分譲公式の記載。コメントでは「（ポータル記載）」を付けて使用</t>
        </is>
      </c>
    </row>
    <row r="249">
      <c r="A249" s="9" t="inlineStr">
        <is>
          <t>09</t>
        </is>
      </c>
      <c r="B249" s="9" t="inlineStr">
        <is>
          <t>パークコート虎ノ門愛宕タワー</t>
        </is>
      </c>
      <c r="C249" s="9" t="inlineStr">
        <is>
          <t>29-30階</t>
        </is>
      </c>
      <c r="D249" s="9" t="inlineStr">
        <is>
          <t>文言</t>
        </is>
      </c>
      <c r="E249" s="9" t="inlineStr">
        <is>
          <t>【文言】画像：許可済み10枚（外観1・間取図2・室内7）。分譲公式（31mansion.com）の13枚と他社掲載の21枚は、転載許可が取れるまで登録しない</t>
        </is>
      </c>
    </row>
    <row r="250">
      <c r="A250" s="9" t="inlineStr">
        <is>
          <t>09</t>
        </is>
      </c>
      <c r="B250" s="9" t="inlineStr">
        <is>
          <t>パークコート虎ノ門愛宕タワー</t>
        </is>
      </c>
      <c r="C250" s="9" t="inlineStr">
        <is>
          <t>29-30階</t>
        </is>
      </c>
      <c r="D250" s="9" t="inlineStr">
        <is>
          <t>推測入力</t>
        </is>
      </c>
      <c r="E250" s="9" t="inlineStr">
        <is>
          <t>設備チェック「オートロック・防犯カメラ・宅配ボックス・内廊下・コンシェルジュ・制震構造・二重床・24時間ゴミ出し」：ポータル記載を根拠に選択</t>
        </is>
      </c>
    </row>
    <row r="251">
      <c r="A251" s="9" t="inlineStr">
        <is>
          <t>09</t>
        </is>
      </c>
      <c r="B251" s="9" t="inlineStr">
        <is>
          <t>パークコート虎ノ門愛宕タワー</t>
        </is>
      </c>
      <c r="C251" s="9" t="inlineStr">
        <is>
          <t>29-30階</t>
        </is>
      </c>
      <c r="D251" s="9" t="inlineStr">
        <is>
          <t>推測入力</t>
        </is>
      </c>
      <c r="E251" s="9" t="inlineStr">
        <is>
          <t>設備チェック「ビューバス」「ガス給湯器」：図面の特徴欄・設備欄を根拠に追加</t>
        </is>
      </c>
    </row>
    <row r="252">
      <c r="A252" s="9" t="inlineStr">
        <is>
          <t>09</t>
        </is>
      </c>
      <c r="B252" s="9" t="inlineStr">
        <is>
          <t>パークコート虎ノ門愛宕タワー</t>
        </is>
      </c>
      <c r="C252" s="9" t="inlineStr">
        <is>
          <t>29-30階</t>
        </is>
      </c>
      <c r="D252" s="9" t="inlineStr">
        <is>
          <t>推測入力</t>
        </is>
      </c>
      <c r="E252" s="9" t="inlineStr">
        <is>
          <t>画像カテゴリ：30階の間取図は15（その他）、外観2枚目以降・車寄せ・ストーンガーデン・ラウンジ・ゲストルーム・廊下は19（その他共用部分）とした</t>
        </is>
      </c>
    </row>
    <row r="253">
      <c r="A253" s="9" t="inlineStr">
        <is>
          <t>09</t>
        </is>
      </c>
      <c r="B253" s="9" t="inlineStr">
        <is>
          <t>パークコート虎ノ門愛宕タワー</t>
        </is>
      </c>
      <c r="C253" s="9" t="inlineStr">
        <is>
          <t>29-30階</t>
        </is>
      </c>
      <c r="D253" s="9" t="inlineStr">
        <is>
          <t>推測入力</t>
        </is>
      </c>
      <c r="E253" s="9" t="inlineStr">
        <is>
          <t>写真06・07はどちらも吹き抜けに面した室内窓があるため30階の寝室と判断した（図面の写真キャプションは「主寝室」「寝室」）</t>
        </is>
      </c>
    </row>
    <row r="254">
      <c r="A254" s="9" t="inlineStr">
        <is>
          <t>09</t>
        </is>
      </c>
      <c r="B254" s="9" t="inlineStr">
        <is>
          <t>パークコート虎ノ門愛宕タワー</t>
        </is>
      </c>
      <c r="C254" s="9" t="inlineStr">
        <is>
          <t>29-30階</t>
        </is>
      </c>
      <c r="D254" s="9" t="inlineStr">
        <is>
          <t>推測入力</t>
        </is>
      </c>
      <c r="E254" s="9" t="inlineStr">
        <is>
          <t>コメントの表現（「屋外で過ごす時間に」「週末の外出」等の暮らしのイメージ）</t>
        </is>
      </c>
    </row>
    <row r="255">
      <c r="A255" s="9" t="inlineStr">
        <is>
          <t>10</t>
        </is>
      </c>
      <c r="B255" s="9" t="inlineStr">
        <is>
          <t>東京ツインパークス</t>
        </is>
      </c>
      <c r="C255" s="9" t="inlineStr">
        <is>
          <t>レフトウィング4603号室</t>
        </is>
      </c>
      <c r="D255" s="9" t="inlineStr">
        <is>
          <t>数値（図面値で入力）</t>
        </is>
      </c>
      <c r="E255" s="9" t="inlineStr">
        <is>
          <t>【数値・図面値で入力】交通の徒歩分数：図面値で入力（汐留2分・浜松町6分・新橋8分＝図面 A-p16）（他の値：汐留3分・浜松町8分・新橋10分＝ノムコム・SUUMO）。大門駅徒歩8分はKEN記載値（図面に記載なし）</t>
        </is>
      </c>
    </row>
    <row r="256">
      <c r="A256" s="9" t="inlineStr">
        <is>
          <t>10</t>
        </is>
      </c>
      <c r="B256" s="9" t="inlineStr">
        <is>
          <t>東京ツインパークス</t>
        </is>
      </c>
      <c r="C256" s="9" t="inlineStr">
        <is>
          <t>レフトウィング4603号室</t>
        </is>
      </c>
      <c r="D256" s="9" t="inlineStr">
        <is>
          <t>数値（図面値で入力）</t>
        </is>
      </c>
      <c r="E256" s="9" t="inlineStr">
        <is>
          <t>【数値・図面値で入力】総戸数：図面に記載なし。1,000戸（2棟合計＝Wikipedia・SUUMOジャーナル）を入力（他の値：レフトウィング577戸＝Wikipedia・マンションレビュー・KEN／576戸＝SUUMO・ノムコム）。21Cloudの総戸数欄を棟単位にするか確認</t>
        </is>
      </c>
    </row>
    <row r="257">
      <c r="A257" s="9" t="inlineStr">
        <is>
          <t>10</t>
        </is>
      </c>
      <c r="B257" s="9" t="inlineStr">
        <is>
          <t>東京ツインパークス</t>
        </is>
      </c>
      <c r="C257" s="9" t="inlineStr">
        <is>
          <t>レフトウィング4603号室</t>
        </is>
      </c>
      <c r="D257" s="9" t="inlineStr">
        <is>
          <t>数値（図面値で入力）</t>
        </is>
      </c>
      <c r="E257" s="9" t="inlineStr">
        <is>
          <t>【数値・図面値で入力】築年月：図面値で入力（2002年9月＝図面 A-p16・ノムコム）（他の値：2002年10月＝Wikipedia。ライトウィングの竣工月とみられる）</t>
        </is>
      </c>
    </row>
    <row r="258">
      <c r="A258" s="9" t="inlineStr">
        <is>
          <t>10</t>
        </is>
      </c>
      <c r="B258" s="9" t="inlineStr">
        <is>
          <t>東京ツインパークス</t>
        </is>
      </c>
      <c r="C258" s="9" t="inlineStr">
        <is>
          <t>レフトウィング4603号室</t>
        </is>
      </c>
      <c r="D258" s="9" t="inlineStr">
        <is>
          <t>数値（図面値で入力）</t>
        </is>
      </c>
      <c r="E258" s="9" t="inlineStr">
        <is>
          <t>【数値・図面値で入力】敷地面積：図面値で入力（15,565.56㎡＝図面 A-p16）（他の値：15,564.87㎡＝Wikipedia／15,565.5㎡＝ノムコム）</t>
        </is>
      </c>
    </row>
    <row r="259">
      <c r="A259" s="9" t="inlineStr">
        <is>
          <t>10</t>
        </is>
      </c>
      <c r="B259" s="9" t="inlineStr">
        <is>
          <t>東京ツインパークス</t>
        </is>
      </c>
      <c r="C259" s="9" t="inlineStr">
        <is>
          <t>レフトウィング4603号室</t>
        </is>
      </c>
      <c r="D259" s="9" t="inlineStr">
        <is>
          <t>数値（図面値で入力）</t>
        </is>
      </c>
      <c r="E259" s="9" t="inlineStr">
        <is>
          <t>【数値・図面値で入力】浴室サイズ：図面値で入力（1822＝図面 A-p16 間取図）（他の値：1622＝物件情報.md④の記載。図面を拡大して再確認し1822と判読）。設備根拠と要許可画像のコメントを1822に修正</t>
        </is>
      </c>
    </row>
    <row r="260">
      <c r="A260" s="9" t="inlineStr">
        <is>
          <t>10</t>
        </is>
      </c>
      <c r="B260" s="9" t="inlineStr">
        <is>
          <t>東京ツインパークス</t>
        </is>
      </c>
      <c r="C260" s="9" t="inlineStr">
        <is>
          <t>レフトウィング4603号室</t>
        </is>
      </c>
      <c r="D260" s="9" t="inlineStr">
        <is>
          <t>数値（図面値で入力）</t>
        </is>
      </c>
      <c r="E260" s="9" t="inlineStr">
        <is>
          <t>【数値・図面値で入力】元付図面：本住戸の販売図面は A-p16（サンウッド・売主）の1枚のみ。数値はすべて A-p16 を採用</t>
        </is>
      </c>
    </row>
    <row r="261">
      <c r="A261" s="9" t="inlineStr">
        <is>
          <t>10</t>
        </is>
      </c>
      <c r="B261" s="9" t="inlineStr">
        <is>
          <t>東京ツインパークス</t>
        </is>
      </c>
      <c r="C261" s="9" t="inlineStr">
        <is>
          <t>レフトウィング4603号室</t>
        </is>
      </c>
      <c r="D261" s="9" t="inlineStr">
        <is>
          <t>文言</t>
        </is>
      </c>
      <c r="E261" s="9" t="inlineStr">
        <is>
          <t>【文言】分譲会社：三菱地所ほか8社（ノムコム・Wikipedia）／「三菱商事・三井不動産・住友不動産他」（プリンセススクゥエアー）。各社公式では未確認</t>
        </is>
      </c>
    </row>
    <row r="262">
      <c r="A262" s="9" t="inlineStr">
        <is>
          <t>10</t>
        </is>
      </c>
      <c r="B262" s="9" t="inlineStr">
        <is>
          <t>東京ツインパークス</t>
        </is>
      </c>
      <c r="C262" s="9" t="inlineStr">
        <is>
          <t>レフトウィング4603号室</t>
        </is>
      </c>
      <c r="D262" s="9" t="inlineStr">
        <is>
          <t>文言</t>
        </is>
      </c>
      <c r="E262" s="9" t="inlineStr">
        <is>
          <t>【文言】向き・角部屋：図面に記載なし。南西（ノムコム・SUUMO向き欄）・南西/北西の角住戸（同紹介文）を入力。コメントにも使用しているため元付に確認推奨</t>
        </is>
      </c>
    </row>
    <row r="263">
      <c r="A263" s="9" t="inlineStr">
        <is>
          <t>10</t>
        </is>
      </c>
      <c r="B263" s="9" t="inlineStr">
        <is>
          <t>東京ツインパークス</t>
        </is>
      </c>
      <c r="C263" s="9" t="inlineStr">
        <is>
          <t>レフトウィング4603号室</t>
        </is>
      </c>
      <c r="D263" s="9" t="inlineStr">
        <is>
          <t>文言</t>
        </is>
      </c>
      <c r="E263" s="9" t="inlineStr">
        <is>
          <t>【文言】ザ・スカイハウス：使用料7,000円と専用使用権（図面）以外の内容（施設か、45〜47階住戸群の呼称か）は未確認。コメントでは「専用使用権」とだけ表記し、施設の説明はしていない</t>
        </is>
      </c>
    </row>
    <row r="264">
      <c r="A264" s="9" t="inlineStr">
        <is>
          <t>10</t>
        </is>
      </c>
      <c r="B264" s="9" t="inlineStr">
        <is>
          <t>東京ツインパークス</t>
        </is>
      </c>
      <c r="C264" s="9" t="inlineStr">
        <is>
          <t>レフトウィング4603号室</t>
        </is>
      </c>
      <c r="D264" s="9" t="inlineStr">
        <is>
          <t>文言</t>
        </is>
      </c>
      <c r="E264" s="9" t="inlineStr">
        <is>
          <t>【文言】専用駐車場（平置き付設）70,000円：契約が必須か任意かは未確認（ノムコム・SUUMOの駐車場欄は「-」）</t>
        </is>
      </c>
    </row>
    <row r="265">
      <c r="A265" s="9" t="inlineStr">
        <is>
          <t>10</t>
        </is>
      </c>
      <c r="B265" s="9" t="inlineStr">
        <is>
          <t>東京ツインパークス</t>
        </is>
      </c>
      <c r="C265" s="9" t="inlineStr">
        <is>
          <t>レフトウィング4603号室</t>
        </is>
      </c>
      <c r="D265" s="9" t="inlineStr">
        <is>
          <t>文言</t>
        </is>
      </c>
      <c r="E265" s="9" t="inlineStr">
        <is>
          <t>【文言】ペット飼育可（規約制限あり）：ノムコム・SUUMO記載のみで図面に記載なし。設備チェックで「ペット相談」を付ける前に規約を確認。コメントには入れていない</t>
        </is>
      </c>
    </row>
    <row r="266">
      <c r="A266" s="9" t="inlineStr">
        <is>
          <t>10</t>
        </is>
      </c>
      <c r="B266" s="9" t="inlineStr">
        <is>
          <t>東京ツインパークス</t>
        </is>
      </c>
      <c r="C266" s="9" t="inlineStr">
        <is>
          <t>レフトウィング4603号室</t>
        </is>
      </c>
      <c r="D266" s="9" t="inlineStr">
        <is>
          <t>文言</t>
        </is>
      </c>
      <c r="E266" s="9" t="inlineStr">
        <is>
          <t>【文言】SUUMO特徴の「全居室フローリング」は、写真（主寝室・洋室がカーペット）と合わないため選択していない</t>
        </is>
      </c>
    </row>
    <row r="267">
      <c r="A267" s="9" t="inlineStr">
        <is>
          <t>10</t>
        </is>
      </c>
      <c r="B267" s="9" t="inlineStr">
        <is>
          <t>東京ツインパークス</t>
        </is>
      </c>
      <c r="C267" s="9" t="inlineStr">
        <is>
          <t>レフトウィング4603号室</t>
        </is>
      </c>
      <c r="D267" s="9" t="inlineStr">
        <is>
          <t>文言</t>
        </is>
      </c>
      <c r="E267" s="9" t="inlineStr">
        <is>
          <t>【文言】元付サンウッドHPに本住戸の掲載がないため、室内・共用部・周辺の写真38枚はノムコム（野村不動産ソリューションズ）の同住戸掲載写真を使用（依頼者指示 2026-09-28：同一住戸の他社掲載写真は許可済み。全枚透かし無しを目視確認）</t>
        </is>
      </c>
    </row>
    <row r="268">
      <c r="A268" s="9" t="inlineStr">
        <is>
          <t>10</t>
        </is>
      </c>
      <c r="B268" s="9" t="inlineStr">
        <is>
          <t>東京ツインパークス</t>
        </is>
      </c>
      <c r="C268" s="9" t="inlineStr">
        <is>
          <t>レフトウィング4603号室</t>
        </is>
      </c>
      <c r="D268" s="9" t="inlineStr">
        <is>
          <t>文言</t>
        </is>
      </c>
      <c r="E268" s="9" t="inlineStr">
        <is>
          <t>【文言】並び順は外観 → 間取図（ノムコム版、次に販売図面版）→ リビング・眺望 → キッチン → 寝室 → 水回り → 収納 → 共用部 → 周辺。販売図面版の間取図は写真の上に重ねた図で文字が読みにくいため2番目の間取図とした</t>
        </is>
      </c>
    </row>
    <row r="269">
      <c r="A269" s="9" t="inlineStr">
        <is>
          <t>10</t>
        </is>
      </c>
      <c r="B269" s="9" t="inlineStr">
        <is>
          <t>東京ツインパークス</t>
        </is>
      </c>
      <c r="C269" s="9" t="inlineStr">
        <is>
          <t>レフトウィング4603号室</t>
        </is>
      </c>
      <c r="D269" s="9" t="inlineStr">
        <is>
          <t>文言</t>
        </is>
      </c>
      <c r="E269" s="9" t="inlineStr">
        <is>
          <t>【文言】図面のキャッチ「46階のプレミアム住戸で最上級の毎日を」は最上級表現のため不使用</t>
        </is>
      </c>
    </row>
    <row r="270">
      <c r="A270" s="9" t="inlineStr">
        <is>
          <t>10</t>
        </is>
      </c>
      <c r="B270" s="9" t="inlineStr">
        <is>
          <t>東京ツインパークス</t>
        </is>
      </c>
      <c r="C270" s="9" t="inlineStr">
        <is>
          <t>レフトウィング4603号室</t>
        </is>
      </c>
      <c r="D270" s="9" t="inlineStr">
        <is>
          <t>推測入力</t>
        </is>
      </c>
      <c r="E270" s="9" t="inlineStr">
        <is>
          <t>設備チェック「ダブルボウル洗面台」：写真 14_洗面室.jpg で洗面ボウル2つを確認したため選択（出典の文字情報なし）</t>
        </is>
      </c>
    </row>
    <row r="271">
      <c r="A271" s="9" t="inlineStr">
        <is>
          <t>10</t>
        </is>
      </c>
      <c r="B271" s="9" t="inlineStr">
        <is>
          <t>東京ツインパークス</t>
        </is>
      </c>
      <c r="C271" s="9" t="inlineStr">
        <is>
          <t>レフトウィング4603号室</t>
        </is>
      </c>
      <c r="D271" s="9" t="inlineStr">
        <is>
          <t>推測入力</t>
        </is>
      </c>
      <c r="E271" s="9" t="inlineStr">
        <is>
          <t>設備チェック「タワーマンション・大規模マンション」：地上47階建（図面）・総戸数1,000戸（Wikipedia）から判断</t>
        </is>
      </c>
    </row>
    <row r="272">
      <c r="A272" s="9" t="inlineStr">
        <is>
          <t>10</t>
        </is>
      </c>
      <c r="B272" s="9" t="inlineStr">
        <is>
          <t>東京ツインパークス</t>
        </is>
      </c>
      <c r="C272" s="9" t="inlineStr">
        <is>
          <t>レフトウィング4603号室</t>
        </is>
      </c>
      <c r="D272" s="9" t="inlineStr">
        <is>
          <t>推測入力</t>
        </is>
      </c>
      <c r="E272" s="9" t="inlineStr">
        <is>
          <t>画像カテゴリ：ダイニング写真は該当カテゴリがないため「リビング(4)」、庭園・ラウンジ・フィットネス・カウンター席は「その他共用部分(19)」、周辺施設は「その他(15)」とした</t>
        </is>
      </c>
    </row>
    <row r="273">
      <c r="A273" s="9" t="inlineStr">
        <is>
          <t>10</t>
        </is>
      </c>
      <c r="B273" s="9" t="inlineStr">
        <is>
          <t>東京ツインパークス</t>
        </is>
      </c>
      <c r="C273" s="9" t="inlineStr">
        <is>
          <t>レフトウィング4603号室</t>
        </is>
      </c>
      <c r="D273" s="9" t="inlineStr">
        <is>
          <t>推測入力</t>
        </is>
      </c>
      <c r="E273" s="9" t="inlineStr">
        <is>
          <t>コメントの生活イメージ表現（書斎やゲストルームに使える、朝夕の散歩に向く 等）は間取り・周辺施設の事実から作文</t>
        </is>
      </c>
    </row>
    <row r="274">
      <c r="A274" s="9" t="inlineStr">
        <is>
          <t>10</t>
        </is>
      </c>
      <c r="B274" s="9" t="inlineStr">
        <is>
          <t>東京ツインパークス</t>
        </is>
      </c>
      <c r="C274" s="9" t="inlineStr">
        <is>
          <t>レフトウィング4603号室</t>
        </is>
      </c>
      <c r="D274" s="9" t="inlineStr">
        <is>
          <t>推測入力</t>
        </is>
      </c>
      <c r="E274" s="9" t="inlineStr">
        <is>
          <t>画像コメントの「窓付きのキッチン」はノムコムのハッシュタグを根拠とした（浴室サイズ・オートバス等の図面基準データにない記述は画像コメントから削除済み）</t>
        </is>
      </c>
    </row>
    <row r="275">
      <c r="A275" s="9" t="inlineStr">
        <is>
          <t>10</t>
        </is>
      </c>
      <c r="B275" s="9" t="inlineStr">
        <is>
          <t>東京ツインパークス</t>
        </is>
      </c>
      <c r="C275" s="9" t="inlineStr">
        <is>
          <t>レフトウィング4603号室</t>
        </is>
      </c>
      <c r="D275" s="9" t="inlineStr">
        <is>
          <t>推測入力</t>
        </is>
      </c>
      <c r="E275" s="9" t="inlineStr">
        <is>
          <t>画像の並び：1枚目は外観（ノムコム掲載写真）、2枚目は間取図とした</t>
        </is>
      </c>
    </row>
    <row r="276">
      <c r="A276" s="9" t="inlineStr">
        <is>
          <t>11</t>
        </is>
      </c>
      <c r="B276" s="9" t="inlineStr">
        <is>
          <t>乃木坂パークハウス</t>
        </is>
      </c>
      <c r="C276" s="9" t="inlineStr">
        <is>
          <t>21階</t>
        </is>
      </c>
      <c r="D276" s="9" t="inlineStr">
        <is>
          <t>文言</t>
        </is>
      </c>
      <c r="E276" s="9" t="inlineStr">
        <is>
          <t>【文言】広告掲載の範囲：図面 A-p17 に「広告：自社HPのみ可能（承諾書不要）、ポータルサイト等その他の広告掲載禁止」「不動産会社間専用販売図面」の表記。依頼者より承諾取得済との指示はあるが、アットホーム（ポータル）掲載のため、承諾の範囲に含まれるか入力前に確認</t>
        </is>
      </c>
    </row>
    <row r="277">
      <c r="A277" s="9" t="inlineStr">
        <is>
          <t>11</t>
        </is>
      </c>
      <c r="B277" s="9" t="inlineStr">
        <is>
          <t>乃木坂パークハウス</t>
        </is>
      </c>
      <c r="C277" s="9" t="inlineStr">
        <is>
          <t>21階</t>
        </is>
      </c>
      <c r="D277" s="9" t="inlineStr">
        <is>
          <t>文言</t>
        </is>
      </c>
      <c r="E277" s="9" t="inlineStr">
        <is>
          <t>【文言】管理体制：日勤・全部委託、常駐警備員20時〜翌8時（図面 A-p17）／「365日24時間有人管理」（新築時パンフ p25）・「24時間有人管理（夜間警備員）」（mitaina）。図面表記で入力し、「24時間有人管理」はチェックせず、コメントにも使っていない</t>
        </is>
      </c>
    </row>
    <row r="278">
      <c r="A278" s="9" t="inlineStr">
        <is>
          <t>11</t>
        </is>
      </c>
      <c r="B278" s="9" t="inlineStr">
        <is>
          <t>乃木坂パークハウス</t>
        </is>
      </c>
      <c r="C278" s="9" t="inlineStr">
        <is>
          <t>21階</t>
        </is>
      </c>
      <c r="D278" s="9" t="inlineStr">
        <is>
          <t>文言</t>
        </is>
      </c>
      <c r="E278" s="9" t="inlineStr">
        <is>
          <t>【文言】構造：鉄筋コンクリート造（図面 A-p17）／鉄筋コンクリート造一部鉄骨造（新築時概要PDF・三菱地所の住まいリレー）。⑤の採用候補「RC造一部S造」を入力済み</t>
        </is>
      </c>
    </row>
    <row r="279">
      <c r="A279" s="9" t="inlineStr">
        <is>
          <t>11</t>
        </is>
      </c>
      <c r="B279" s="9" t="inlineStr">
        <is>
          <t>乃木坂パークハウス</t>
        </is>
      </c>
      <c r="C279" s="9" t="inlineStr">
        <is>
          <t>21階</t>
        </is>
      </c>
      <c r="D279" s="9" t="inlineStr">
        <is>
          <t>数値（図面値で入力）</t>
        </is>
      </c>
      <c r="E279" s="9" t="inlineStr">
        <is>
          <t>【数値・図面値で入力】総戸数：図面値で入力（42戸＝図面 A-p17・新築時概要PDF）（他の値：43戸＝マンションレビュー・東京建物）</t>
        </is>
      </c>
    </row>
    <row r="280">
      <c r="A280" s="9" t="inlineStr">
        <is>
          <t>11</t>
        </is>
      </c>
      <c r="B280" s="9" t="inlineStr">
        <is>
          <t>乃木坂パークハウス</t>
        </is>
      </c>
      <c r="C280" s="9" t="inlineStr">
        <is>
          <t>21階</t>
        </is>
      </c>
      <c r="D280" s="9" t="inlineStr">
        <is>
          <t>数値（図面値で入力）</t>
        </is>
      </c>
      <c r="E280" s="9" t="inlineStr">
        <is>
          <t>【数値・図面値で入力】交通：図面値で入力（「乃木坂」駅徒歩2分＝図面 A-p17・新築時概要PDF）（他の値：3分＝三菱地所の住まいリレー）</t>
        </is>
      </c>
    </row>
    <row r="281">
      <c r="A281" s="9" t="inlineStr">
        <is>
          <t>11</t>
        </is>
      </c>
      <c r="B281" s="9" t="inlineStr">
        <is>
          <t>乃木坂パークハウス</t>
        </is>
      </c>
      <c r="C281" s="9" t="inlineStr">
        <is>
          <t>21階</t>
        </is>
      </c>
      <c r="D281" s="9" t="inlineStr">
        <is>
          <t>数値（図面値で入力）</t>
        </is>
      </c>
      <c r="E281" s="9" t="inlineStr">
        <is>
          <t>【数値・図面値で入力】築年月：図面値で入力（2010年6月＝図面 A-p17・新築時概要PDF）（他の値：2010年8月＝アクセルホーム。引渡時期と思われる）</t>
        </is>
      </c>
    </row>
    <row r="282">
      <c r="A282" s="9" t="inlineStr">
        <is>
          <t>11</t>
        </is>
      </c>
      <c r="B282" s="9" t="inlineStr">
        <is>
          <t>乃木坂パークハウス</t>
        </is>
      </c>
      <c r="C282" s="9" t="inlineStr">
        <is>
          <t>21階</t>
        </is>
      </c>
      <c r="D282" s="9" t="inlineStr">
        <is>
          <t>文言</t>
        </is>
      </c>
      <c r="E282" s="9" t="inlineStr">
        <is>
          <t>【文言】向き：図面・元付HPに記載なし。南東（mitaina）を入力。四方角住戸のため、21Cloudの向き欄に何を入れるか確認</t>
        </is>
      </c>
    </row>
    <row r="283">
      <c r="A283" s="9" t="inlineStr">
        <is>
          <t>11</t>
        </is>
      </c>
      <c r="B283" s="9" t="inlineStr">
        <is>
          <t>乃木坂パークハウス</t>
        </is>
      </c>
      <c r="C283" s="9" t="inlineStr">
        <is>
          <t>21階</t>
        </is>
      </c>
      <c r="D283" s="9" t="inlineStr">
        <is>
          <t>文言</t>
        </is>
      </c>
      <c r="E283" s="9" t="inlineStr">
        <is>
          <t>【文言】駐車場：「空きあり（2026年3月12日時点・車種による）」は半年以上前の情報。料金48,000〜50,000円はポータル値で公式未確認。いずれも元付に最新状況を確認（料金は図面に記載なし）</t>
        </is>
      </c>
    </row>
    <row r="284">
      <c r="A284" s="9" t="inlineStr">
        <is>
          <t>11</t>
        </is>
      </c>
      <c r="B284" s="9" t="inlineStr">
        <is>
          <t>乃木坂パークハウス</t>
        </is>
      </c>
      <c r="C284" s="9" t="inlineStr">
        <is>
          <t>21階</t>
        </is>
      </c>
      <c r="D284" s="9" t="inlineStr">
        <is>
          <t>文言</t>
        </is>
      </c>
      <c r="E284" s="9" t="inlineStr">
        <is>
          <t>【文言】敷地権割合「10,000分の3,999」（元付HP）は1住戸の持分としては大きく要確認。敷地面積1,107.48㎡は新築時概要PDF・元付HPの値（図面に記載なし）</t>
        </is>
      </c>
    </row>
    <row r="285">
      <c r="A285" s="9" t="inlineStr">
        <is>
          <t>11</t>
        </is>
      </c>
      <c r="B285" s="9" t="inlineStr">
        <is>
          <t>乃木坂パークハウス</t>
        </is>
      </c>
      <c r="C285" s="9" t="inlineStr">
        <is>
          <t>21階</t>
        </is>
      </c>
      <c r="D285" s="9" t="inlineStr">
        <is>
          <t>文言</t>
        </is>
      </c>
      <c r="E285" s="9" t="inlineStr">
        <is>
          <t>【文言】室内設備（床暖房・食洗機・ディスポーザー・浴室乾燥機・フルオートバス・浄水器）は新築時パンフの仕様で、本住戸の現況は未確認。設備チェックは推測で付けている（guessed参照）。コメントには入れていない</t>
        </is>
      </c>
    </row>
    <row r="286">
      <c r="A286" s="9" t="inlineStr">
        <is>
          <t>11</t>
        </is>
      </c>
      <c r="B286" s="9" t="inlineStr">
        <is>
          <t>乃木坂パークハウス</t>
        </is>
      </c>
      <c r="C286" s="9" t="inlineStr">
        <is>
          <t>21階</t>
        </is>
      </c>
      <c r="D286" s="9" t="inlineStr">
        <is>
          <t>文言</t>
        </is>
      </c>
      <c r="E286" s="9" t="inlineStr">
        <is>
          <t>【文言】共用部/02_現地案内図.jpg（元付HP由来で転載は許可済み）：画像上部に「将来にわたり解放感が損なわれにくい希少な眺望立地」の文言が写り込み、禁止語「希少」を含む。画像内の文言も禁止文言チェックの対象になり得るため、依頼者の指示で images_pending_permission に移した（note に理由）。販売図面にも「希少性」の文言があるが不使用</t>
        </is>
      </c>
    </row>
    <row r="287">
      <c r="A287" s="9" t="inlineStr">
        <is>
          <t>11</t>
        </is>
      </c>
      <c r="B287" s="9" t="inlineStr">
        <is>
          <t>乃木坂パークハウス</t>
        </is>
      </c>
      <c r="C287" s="9" t="inlineStr">
        <is>
          <t>21階</t>
        </is>
      </c>
      <c r="D287" s="9" t="inlineStr">
        <is>
          <t>文言</t>
        </is>
      </c>
      <c r="E287" s="9" t="inlineStr">
        <is>
          <t>【文言】要許可39枚のうち3枚（01_キッチン・06_主寝室・11_浴室）は元付リストホームズのCDN上にあるHP未掲載画像。元付に確認できれば許可済みに移せる。残りは mitaina・プラザホームズ・ハウジング・ジャパン（館銘板は MODERN STANDARD の透かし有）</t>
        </is>
      </c>
    </row>
    <row r="288">
      <c r="A288" s="9" t="inlineStr">
        <is>
          <t>11</t>
        </is>
      </c>
      <c r="B288" s="9" t="inlineStr">
        <is>
          <t>乃木坂パークハウス</t>
        </is>
      </c>
      <c r="C288" s="9" t="inlineStr">
        <is>
          <t>21階</t>
        </is>
      </c>
      <c r="D288" s="9" t="inlineStr">
        <is>
          <t>文言</t>
        </is>
      </c>
      <c r="E288" s="9" t="inlineStr">
        <is>
          <t>【文言】図面備考に「イメージ画像のため現況と異なる場合がございます」の記載あり。許可済みの 02_眺望2.jpg（図面由来）は撮影時期の記載なし</t>
        </is>
      </c>
    </row>
    <row r="289">
      <c r="A289" s="9" t="inlineStr">
        <is>
          <t>11</t>
        </is>
      </c>
      <c r="B289" s="9" t="inlineStr">
        <is>
          <t>乃木坂パークハウス</t>
        </is>
      </c>
      <c r="C289" s="9" t="inlineStr">
        <is>
          <t>21階</t>
        </is>
      </c>
      <c r="D289" s="9" t="inlineStr">
        <is>
          <t>数値（図面値で入力）</t>
        </is>
      </c>
      <c r="E289" s="9" t="inlineStr">
        <is>
          <t>【数値・図面値で入力】元付図面：本住戸の販売図面は A-p17（リストホームズ・売主）の1枚のみ。価格・専有面積・バルコニー面積・所在階・階建・総戸数・築年月・管理費・修繕積立金・駅徒歩はすべて A-p17 の値。駐車場料金は図面に記載がなくポータル値（確度＝ポータル）</t>
        </is>
      </c>
    </row>
    <row r="290">
      <c r="A290" s="9" t="inlineStr">
        <is>
          <t>11</t>
        </is>
      </c>
      <c r="B290" s="9" t="inlineStr">
        <is>
          <t>乃木坂パークハウス</t>
        </is>
      </c>
      <c r="C290" s="9" t="inlineStr">
        <is>
          <t>21階</t>
        </is>
      </c>
      <c r="D290" s="9" t="inlineStr">
        <is>
          <t>推測入力</t>
        </is>
      </c>
      <c r="E290" s="9" t="inlineStr">
        <is>
          <t>設備チェック「床暖房（LD）」「食器洗乾燥機」「ディスポーザー」「浴室乾燥機・追焚（フルオートバス）」「浄水器」：新築時の設備PDFに記載があるため選択。本住戸の現況は未確認（食洗機は mitaina の写真で確認）</t>
        </is>
      </c>
    </row>
    <row r="291">
      <c r="A291" s="9" t="inlineStr">
        <is>
          <t>11</t>
        </is>
      </c>
      <c r="B291" s="9" t="inlineStr">
        <is>
          <t>乃木坂パークハウス</t>
        </is>
      </c>
      <c r="C291" s="9" t="inlineStr">
        <is>
          <t>21階</t>
        </is>
      </c>
      <c r="D291" s="9" t="inlineStr">
        <is>
          <t>推測入力</t>
        </is>
      </c>
      <c r="E291" s="9" t="inlineStr">
        <is>
          <t>設備チェック「タンクレストイレ」：新築時設備PDFの記載と mitaina の写真（タンクのない便器）から選択</t>
        </is>
      </c>
    </row>
    <row r="292">
      <c r="A292" s="9" t="inlineStr">
        <is>
          <t>11</t>
        </is>
      </c>
      <c r="B292" s="9" t="inlineStr">
        <is>
          <t>乃木坂パークハウス</t>
        </is>
      </c>
      <c r="C292" s="9" t="inlineStr">
        <is>
          <t>21階</t>
        </is>
      </c>
      <c r="D292" s="9" t="inlineStr">
        <is>
          <t>推測入力</t>
        </is>
      </c>
      <c r="E292" s="9" t="inlineStr">
        <is>
          <t>画像カテゴリ：ダイニングキッチン写真は「キッチン(5)」、車寄せ・ラウンジ・エレベーターホール・館銘板は「その他共用部分(19)」、パントリー・シューズインクローゼットは「収納(12)」とした</t>
        </is>
      </c>
    </row>
    <row r="293">
      <c r="A293" s="9" t="inlineStr">
        <is>
          <t>11</t>
        </is>
      </c>
      <c r="B293" s="9" t="inlineStr">
        <is>
          <t>乃木坂パークハウス</t>
        </is>
      </c>
      <c r="C293" s="9" t="inlineStr">
        <is>
          <t>21階</t>
        </is>
      </c>
      <c r="D293" s="9" t="inlineStr">
        <is>
          <t>推測入力</t>
        </is>
      </c>
      <c r="E293" s="9" t="inlineStr">
        <is>
          <t>画像コメントの眺望方角（リビング側＝六本木・赤坂方面 等）は写真の見え方と図面の眺望方面表記から判断。ダイニング側の「檜町公園方面」、洋室側の「青山方面」は推測を含む</t>
        </is>
      </c>
    </row>
    <row r="294">
      <c r="A294" s="9" t="inlineStr">
        <is>
          <t>11</t>
        </is>
      </c>
      <c r="B294" s="9" t="inlineStr">
        <is>
          <t>乃木坂パークハウス</t>
        </is>
      </c>
      <c r="C294" s="9" t="inlineStr">
        <is>
          <t>21階</t>
        </is>
      </c>
      <c r="D294" s="9" t="inlineStr">
        <is>
          <t>推測入力</t>
        </is>
      </c>
      <c r="E294" s="9" t="inlineStr">
        <is>
          <t>コメントの生活イメージ表現（二世帯・ゲスト・仕事場の使い分け、書斎・子ども部屋 等）は2玄関・2バスルームの間取りから作文</t>
        </is>
      </c>
    </row>
    <row r="295">
      <c r="A295" s="9" t="inlineStr">
        <is>
          <t>11</t>
        </is>
      </c>
      <c r="B295" s="9" t="inlineStr">
        <is>
          <t>乃木坂パークハウス</t>
        </is>
      </c>
      <c r="C295" s="9" t="inlineStr">
        <is>
          <t>21階</t>
        </is>
      </c>
      <c r="D295" s="9" t="inlineStr">
        <is>
          <t>推測入力</t>
        </is>
      </c>
      <c r="E295" s="9" t="inlineStr">
        <is>
          <t>画像 5（05_居室.jpg）：床の色が03_リビングより明るく見えるが、物件情報.md⑦の照合（mitaina・プラザホームズの「リビング」写真と同構図）に従いリビング(4)とした。窓の配置も間取図のリビング（掃出し窓・斜め壁の窓・縦長窓2つ）と合う</t>
        </is>
      </c>
    </row>
    <row r="296">
      <c r="A296" s="9" t="inlineStr">
        <is>
          <t>11</t>
        </is>
      </c>
      <c r="B296" s="9" t="inlineStr">
        <is>
          <t>乃木坂パークハウス</t>
        </is>
      </c>
      <c r="C296" s="9" t="inlineStr">
        <is>
          <t>21階</t>
        </is>
      </c>
      <c r="D296" s="9" t="inlineStr">
        <is>
          <t>推測入力</t>
        </is>
      </c>
      <c r="E296" s="9" t="inlineStr">
        <is>
          <t>設備チェック「全居室エアコン」：新築時設備PDFの記載と許可済み写真の天井カセット型エアコンから選択（洋室・主寝室の現況は未確認）</t>
        </is>
      </c>
    </row>
    <row r="297">
      <c r="A297" s="9" t="inlineStr">
        <is>
          <t>12</t>
        </is>
      </c>
      <c r="B297" s="9" t="inlineStr">
        <is>
          <t>HIKAWA GARDENS AKASAKA</t>
        </is>
      </c>
      <c r="C297" s="9" t="inlineStr">
        <is>
          <t>1階</t>
        </is>
      </c>
      <c r="D297" s="9" t="inlineStr">
        <is>
          <t>文言</t>
        </is>
      </c>
      <c r="E297" s="9" t="inlineStr">
        <is>
          <t>【文言】広告表記：合豊の図面 A-p18 に「広告掲載不可／内覧方法：立会」、ケンの図面 A-p19 には記載なし。依頼者より承諾取得済との指示はあるが、どちらの元付の承諾で登録するか確認</t>
        </is>
      </c>
    </row>
    <row r="298">
      <c r="A298" s="9" t="inlineStr">
        <is>
          <t>12</t>
        </is>
      </c>
      <c r="B298" s="9" t="inlineStr">
        <is>
          <t>HIKAWA GARDENS AKASAKA</t>
        </is>
      </c>
      <c r="C298" s="9" t="inlineStr">
        <is>
          <t>1階</t>
        </is>
      </c>
      <c r="D298" s="9" t="inlineStr">
        <is>
          <t>文言</t>
        </is>
      </c>
      <c r="E298" s="9" t="inlineStr">
        <is>
          <t>【文言】元付・取引態様：ケン・コーポレーション外国部（媒介、物件№2026085910）と合豊（売主代理）の2社。21Cloudに登録する元付を選択</t>
        </is>
      </c>
    </row>
    <row r="299">
      <c r="A299" s="9" t="inlineStr">
        <is>
          <t>12</t>
        </is>
      </c>
      <c r="B299" s="9" t="inlineStr">
        <is>
          <t>HIKAWA GARDENS AKASAKA</t>
        </is>
      </c>
      <c r="C299" s="9" t="inlineStr">
        <is>
          <t>1階</t>
        </is>
      </c>
      <c r="D299" s="9" t="inlineStr">
        <is>
          <t>文言</t>
        </is>
      </c>
      <c r="E299" s="9" t="inlineStr">
        <is>
          <t>【文言】間取り表記：3LDK+2バス2トイレ（A-p18 合豊）／3LDK（A-p19 ケン・KEN・SUUMO）。3LDKで入力し、浴室・トイレ2か所は設備チェックとコメントで表示</t>
        </is>
      </c>
    </row>
    <row r="300">
      <c r="A300" s="9" t="inlineStr">
        <is>
          <t>12</t>
        </is>
      </c>
      <c r="B300" s="9" t="inlineStr">
        <is>
          <t>HIKAWA GARDENS AKASAKA</t>
        </is>
      </c>
      <c r="C300" s="9" t="inlineStr">
        <is>
          <t>1階</t>
        </is>
      </c>
      <c r="D300" s="9" t="inlineStr">
        <is>
          <t>数値（図面値で入力）</t>
        </is>
      </c>
      <c r="E300" s="9" t="inlineStr">
        <is>
          <t>【数値・図面値で入力】交通：A-p19（ケン）の値で入力（六本木一丁目徒歩6分・六本木徒歩8分・赤坂徒歩8分）（他の値：A-p18（合豊）は六本木一丁目徒歩6分の1路線のみで、値は一致）</t>
        </is>
      </c>
    </row>
    <row r="301">
      <c r="A301" s="9" t="inlineStr">
        <is>
          <t>12</t>
        </is>
      </c>
      <c r="B301" s="9" t="inlineStr">
        <is>
          <t>HIKAWA GARDENS AKASAKA</t>
        </is>
      </c>
      <c r="C301" s="9" t="inlineStr">
        <is>
          <t>1階</t>
        </is>
      </c>
      <c r="D301" s="9" t="inlineStr">
        <is>
          <t>文言</t>
        </is>
      </c>
      <c r="E301" s="9" t="inlineStr">
        <is>
          <t>【文言】分譲会社：ペンブローグ（A-p19・KEN）／ペンブローク・リアルエステート・ジャパン エルエルシー（三井住友トラスト不動産ライブラリ）。物件情報.md⑤の採用候補（ペンブローク）を入力。リノベーション後の区分販売の売主は未確認</t>
        </is>
      </c>
    </row>
    <row r="302">
      <c r="A302" s="9" t="inlineStr">
        <is>
          <t>12</t>
        </is>
      </c>
      <c r="B302" s="9" t="inlineStr">
        <is>
          <t>HIKAWA GARDENS AKASAKA</t>
        </is>
      </c>
      <c r="C302" s="9" t="inlineStr">
        <is>
          <t>1階</t>
        </is>
      </c>
      <c r="D302" s="9" t="inlineStr">
        <is>
          <t>数値（図面値で入力）</t>
        </is>
      </c>
      <c r="E302" s="9" t="inlineStr">
        <is>
          <t>【数値・図面値で入力】地下階数：図面値で入力（地下2階＝図面 A-p18・A-p19）（他の値：地下1階＝三井住友トラスト不動産ライブラリ）</t>
        </is>
      </c>
    </row>
    <row r="303">
      <c r="A303" s="9" t="inlineStr">
        <is>
          <t>12</t>
        </is>
      </c>
      <c r="B303" s="9" t="inlineStr">
        <is>
          <t>HIKAWA GARDENS AKASAKA</t>
        </is>
      </c>
      <c r="C303" s="9" t="inlineStr">
        <is>
          <t>1階</t>
        </is>
      </c>
      <c r="D303" s="9" t="inlineStr">
        <is>
          <t>数値（図面値で入力）</t>
        </is>
      </c>
      <c r="E303" s="9" t="inlineStr">
        <is>
          <t>【数値・図面値で入力】築年月：図面値で入力（2002年8月＝図面 A-p18・A-p19）（他の値：2002年7月＝三井の賃貸・恵比寿不動産等）</t>
        </is>
      </c>
    </row>
    <row r="304">
      <c r="A304" s="9" t="inlineStr">
        <is>
          <t>12</t>
        </is>
      </c>
      <c r="B304" s="9" t="inlineStr">
        <is>
          <t>HIKAWA GARDENS AKASAKA</t>
        </is>
      </c>
      <c r="C304" s="9" t="inlineStr">
        <is>
          <t>1階</t>
        </is>
      </c>
      <c r="D304" s="9" t="inlineStr">
        <is>
          <t>文言</t>
        </is>
      </c>
      <c r="E304" s="9" t="inlineStr">
        <is>
          <t>【文言】向き（南）・角部屋：図面に記載なし。元付KENの住戸ページ記載を入力し、コメントには使っていない</t>
        </is>
      </c>
    </row>
    <row r="305">
      <c r="A305" s="9" t="inlineStr">
        <is>
          <t>12</t>
        </is>
      </c>
      <c r="B305" s="9" t="inlineStr">
        <is>
          <t>HIKAWA GARDENS AKASAKA</t>
        </is>
      </c>
      <c r="C305" s="9" t="inlineStr">
        <is>
          <t>1階</t>
        </is>
      </c>
      <c r="D305" s="9" t="inlineStr">
        <is>
          <t>文言</t>
        </is>
      </c>
      <c r="E305" s="9" t="inlineStr">
        <is>
          <t>【文言】バルコニー35.05㎡：図面は「バルコニー面積」、平面図は Terrace×2。21Cloudでテラス欄（terraceMenseki）に入れるかバルコニー欄に入れるか確認。使用料は未確認</t>
        </is>
      </c>
    </row>
    <row r="306">
      <c r="A306" s="9" t="inlineStr">
        <is>
          <t>12</t>
        </is>
      </c>
      <c r="B306" s="9" t="inlineStr">
        <is>
          <t>HIKAWA GARDENS AKASAKA</t>
        </is>
      </c>
      <c r="C306" s="9" t="inlineStr">
        <is>
          <t>1階</t>
        </is>
      </c>
      <c r="D306" s="9" t="inlineStr">
        <is>
          <t>文言</t>
        </is>
      </c>
      <c r="E306" s="9" t="inlineStr">
        <is>
          <t>【文言】リノベーション：図面は「一棟リノベーション（平成30年10月）」。住戸内の改修内容・時期は図面・元付HPで未確認のため、「リフォーム済」は付けていない</t>
        </is>
      </c>
    </row>
    <row r="307">
      <c r="A307" s="9" t="inlineStr">
        <is>
          <t>12</t>
        </is>
      </c>
      <c r="B307" s="9" t="inlineStr">
        <is>
          <t>HIKAWA GARDENS AKASAKA</t>
        </is>
      </c>
      <c r="C307" s="9" t="inlineStr">
        <is>
          <t>1階</t>
        </is>
      </c>
      <c r="D307" s="9" t="inlineStr">
        <is>
          <t>文言</t>
        </is>
      </c>
      <c r="E307" s="9" t="inlineStr">
        <is>
          <t>【文言】KEN由来の透かし入り写真13枚（室内4・共用部9）は、依頼者指示（2026-09-28）により不使用（images_excluded）。代わりに販売図面から透かし無しの写真を切り出して掲載。寝室・浴室・洗面・トイレ・テラス・眺望の写真はないため、元付に追加提供を依頼するか内覧時に撮影</t>
        </is>
      </c>
    </row>
    <row r="308">
      <c r="A308" s="9" t="inlineStr">
        <is>
          <t>12</t>
        </is>
      </c>
      <c r="B308" s="9" t="inlineStr">
        <is>
          <t>HIKAWA GARDENS AKASAKA</t>
        </is>
      </c>
      <c r="C308" s="9" t="inlineStr">
        <is>
          <t>1階</t>
        </is>
      </c>
      <c r="D308" s="9" t="inlineStr">
        <is>
          <t>文言</t>
        </is>
      </c>
      <c r="E308" s="9" t="inlineStr">
        <is>
          <t>【文言】管理体制：図面は日勤。KEN住戸ページの特徴アイコンに「コンシェルジュ」があるが現在の体制は未確認のため、コメント・設備チェックに入れていない</t>
        </is>
      </c>
    </row>
    <row r="309">
      <c r="A309" s="9" t="inlineStr">
        <is>
          <t>12</t>
        </is>
      </c>
      <c r="B309" s="9" t="inlineStr">
        <is>
          <t>HIKAWA GARDENS AKASAKA</t>
        </is>
      </c>
      <c r="C309" s="9" t="inlineStr">
        <is>
          <t>1階</t>
        </is>
      </c>
      <c r="D309" s="9" t="inlineStr">
        <is>
          <t>文言</t>
        </is>
      </c>
      <c r="E309" s="9" t="inlineStr">
        <is>
          <t>【文言】ペット可否は未確認のため設備チェック・コメントとも未入力。耐震・天井高・二重床、大規模修繕の時期も未確認</t>
        </is>
      </c>
    </row>
    <row r="310">
      <c r="A310" s="9" t="inlineStr">
        <is>
          <t>12</t>
        </is>
      </c>
      <c r="B310" s="9" t="inlineStr">
        <is>
          <t>HIKAWA GARDENS AKASAKA</t>
        </is>
      </c>
      <c r="C310" s="9" t="inlineStr">
        <is>
          <t>1階</t>
        </is>
      </c>
      <c r="D310" s="9" t="inlineStr">
        <is>
          <t>文言</t>
        </is>
      </c>
      <c r="E310" s="9" t="inlineStr">
        <is>
          <t>【文言】重要事項説明向け：国土地理院のタイルで、土砂災害警戒区域（急傾斜地）の表示が街区の代表点の西約4mにある。敷地が区域内かは未確認</t>
        </is>
      </c>
    </row>
    <row r="311">
      <c r="A311" s="9" t="inlineStr">
        <is>
          <t>12</t>
        </is>
      </c>
      <c r="B311" s="9" t="inlineStr">
        <is>
          <t>HIKAWA GARDENS AKASAKA</t>
        </is>
      </c>
      <c r="C311" s="9" t="inlineStr">
        <is>
          <t>1階</t>
        </is>
      </c>
      <c r="D311" s="9" t="inlineStr">
        <is>
          <t>数値（図面値で入力）</t>
        </is>
      </c>
      <c r="E311" s="9" t="inlineStr">
        <is>
          <t>【数値・図面値で入力】元付図面2枚の扱い：A-p18（合豊・売主代理）と A-p19（ケン・媒介）で、価格・専有面積・バルコニー面積・所在階・階建・総戸数・築年月・管理費・修繕積立金・その他費用合計はすべて一致。基準図面は A-p19（ケン＝写真の元付HP、図面上の広告不可表記なし）とし、A-p19 にない数値（その他費用の内訳・LDK約39.3帖・各室帖数）は A-p18 で補った</t>
        </is>
      </c>
    </row>
    <row r="312">
      <c r="A312" s="9" t="inlineStr">
        <is>
          <t>12</t>
        </is>
      </c>
      <c r="B312" s="9" t="inlineStr">
        <is>
          <t>HIKAWA GARDENS AKASAKA</t>
        </is>
      </c>
      <c r="C312" s="9" t="inlineStr">
        <is>
          <t>1階</t>
        </is>
      </c>
      <c r="D312" s="9" t="inlineStr">
        <is>
          <t>推測入力</t>
        </is>
      </c>
      <c r="E312" s="9" t="inlineStr">
        <is>
          <t>画像カテゴリ：エントランスホール2枚は「ロビー(44)」、郵便受け・宅配ボックス、フィットネス、トランクルーム、駐輪場は「その他共用部分(19)」とした</t>
        </is>
      </c>
    </row>
    <row r="313">
      <c r="A313" s="9" t="inlineStr">
        <is>
          <t>12</t>
        </is>
      </c>
      <c r="B313" s="9" t="inlineStr">
        <is>
          <t>HIKAWA GARDENS AKASAKA</t>
        </is>
      </c>
      <c r="C313" s="9" t="inlineStr">
        <is>
          <t>1階</t>
        </is>
      </c>
      <c r="D313" s="9" t="inlineStr">
        <is>
          <t>推測入力</t>
        </is>
      </c>
      <c r="E313" s="9" t="inlineStr">
        <is>
          <t>画像 3〜5 のリビング写真の区別（LD全体・ダイニング側・リビング側）は写真の構図から判断</t>
        </is>
      </c>
    </row>
    <row r="314">
      <c r="A314" s="9" t="inlineStr">
        <is>
          <t>12</t>
        </is>
      </c>
      <c r="B314" s="9" t="inlineStr">
        <is>
          <t>HIKAWA GARDENS AKASAKA</t>
        </is>
      </c>
      <c r="C314" s="9" t="inlineStr">
        <is>
          <t>1階</t>
        </is>
      </c>
      <c r="D314" s="9" t="inlineStr">
        <is>
          <t>推測入力</t>
        </is>
      </c>
      <c r="E314" s="9" t="inlineStr">
        <is>
          <t>設備チェック「閑静な住宅地・緑豊か」：KEN建物ページの「氷川神社や檜町公園の緑に囲まれ」と図面 A-p19 の記載から選択</t>
        </is>
      </c>
    </row>
    <row r="315">
      <c r="A315" s="9" t="inlineStr">
        <is>
          <t>12</t>
        </is>
      </c>
      <c r="B315" s="9" t="inlineStr">
        <is>
          <t>HIKAWA GARDENS AKASAKA</t>
        </is>
      </c>
      <c r="C315" s="9" t="inlineStr">
        <is>
          <t>1階</t>
        </is>
      </c>
      <c r="D315" s="9" t="inlineStr">
        <is>
          <t>推測入力</t>
        </is>
      </c>
      <c r="E315" s="9" t="inlineStr">
        <is>
          <t>コメントの生活イメージ表現（朝の支度が重ならない、テラスを屋外の居場所に 等）は浴室2か所・テラス2か所の事実から作文</t>
        </is>
      </c>
    </row>
    <row r="316">
      <c r="A316" s="9" t="inlineStr">
        <is>
          <t>12</t>
        </is>
      </c>
      <c r="B316" s="9" t="inlineStr">
        <is>
          <t>HIKAWA GARDENS AKASAKA</t>
        </is>
      </c>
      <c r="C316" s="9" t="inlineStr">
        <is>
          <t>1階</t>
        </is>
      </c>
      <c r="D316" s="9" t="inlineStr">
        <is>
          <t>推測入力</t>
        </is>
      </c>
      <c r="E316" s="9" t="inlineStr">
        <is>
          <t>画像コメントの「機械式ではないため出し入れがしやすく」は図面の「屋内平置き」と写真から判断した表現。外観写真の「秋には木々が色づき」は写真の紅葉から作文</t>
        </is>
      </c>
    </row>
    <row r="317">
      <c r="A317" s="9" t="inlineStr">
        <is>
          <t>13</t>
        </is>
      </c>
      <c r="B317" s="9" t="inlineStr">
        <is>
          <t>虎ノ門ヒルズ レジデンシャルタワー</t>
        </is>
      </c>
      <c r="C317" s="9" t="inlineStr">
        <is>
          <t>29階</t>
        </is>
      </c>
      <c r="D317" s="9" t="inlineStr">
        <is>
          <t>文言</t>
        </is>
      </c>
      <c r="E317" s="9" t="inlineStr">
        <is>
          <t>【文言】図面の広告可否表記は「記載なし」（取引態様：媒介）。依頼者指示により承諾取得済として作成。</t>
        </is>
      </c>
    </row>
    <row r="318">
      <c r="A318" s="9" t="inlineStr">
        <is>
          <t>13</t>
        </is>
      </c>
      <c r="B318" s="9" t="inlineStr">
        <is>
          <t>虎ノ門ヒルズ レジデンシャルタワー</t>
        </is>
      </c>
      <c r="C318" s="9" t="inlineStr">
        <is>
          <t>29階</t>
        </is>
      </c>
      <c r="D318" s="9" t="inlineStr">
        <is>
          <t>文言</t>
        </is>
      </c>
      <c r="E318" s="9" t="inlineStr">
        <is>
          <t>【文言】管理員の勤務形態：常勤（図面 A-p20・KEN住戸）／日勤（マンションレビュー・mitaina）・通勤（SUUMOライブラリー）。図面の「常勤」を入力。</t>
        </is>
      </c>
    </row>
    <row r="319">
      <c r="A319" s="9" t="inlineStr">
        <is>
          <t>13</t>
        </is>
      </c>
      <c r="B319" s="9" t="inlineStr">
        <is>
          <t>虎ノ門ヒルズ レジデンシャルタワー</t>
        </is>
      </c>
      <c r="C319" s="9" t="inlineStr">
        <is>
          <t>29階</t>
        </is>
      </c>
      <c r="D319" s="9" t="inlineStr">
        <is>
          <t>文言</t>
        </is>
      </c>
      <c r="E319" s="9" t="inlineStr">
        <is>
          <t>【文言】構造：鉄筋コンクリート造（図面・KEN）／RC造（一部S造・SRC造）（森ビル竣工PR）。⑤採用候補の「RC造（一部S造・SRC造）」を入力。21Cloudの選択肢がRC/SRCのみなら図面どおりRCを選ぶ。</t>
        </is>
      </c>
    </row>
    <row r="320">
      <c r="A320" s="9" t="inlineStr">
        <is>
          <t>13</t>
        </is>
      </c>
      <c r="B320" s="9" t="inlineStr">
        <is>
          <t>虎ノ門ヒルズ レジデンシャルタワー</t>
        </is>
      </c>
      <c r="C320" s="9" t="inlineStr">
        <is>
          <t>29階</t>
        </is>
      </c>
      <c r="D320" s="9" t="inlineStr">
        <is>
          <t>文言</t>
        </is>
      </c>
      <c r="E320" s="9" t="inlineStr">
        <is>
          <t>【文言】用途地域：商業地域（図面）／商業地域・第二種住居地域（MR・mitaina・SUUMOライブラリー）。図面の商業地域を入力。</t>
        </is>
      </c>
    </row>
    <row r="321">
      <c r="A321" s="9" t="inlineStr">
        <is>
          <t>13</t>
        </is>
      </c>
      <c r="B321" s="9" t="inlineStr">
        <is>
          <t>虎ノ門ヒルズ レジデンシャルタワー</t>
        </is>
      </c>
      <c r="C321" s="9" t="inlineStr">
        <is>
          <t>29階</t>
        </is>
      </c>
      <c r="D321" s="9" t="inlineStr">
        <is>
          <t>文言</t>
        </is>
      </c>
      <c r="E321" s="9" t="inlineStr">
        <is>
          <t>【文言】小学校区：御成門小学校（KEN）／中央区立泰明小学校（SUUMOライブラリー）。御成門小を入力（港区で要確認）。</t>
        </is>
      </c>
    </row>
    <row r="322">
      <c r="A322" s="9" t="inlineStr">
        <is>
          <t>13</t>
        </is>
      </c>
      <c r="B322" s="9" t="inlineStr">
        <is>
          <t>虎ノ門ヒルズ レジデンシャルタワー</t>
        </is>
      </c>
      <c r="C322" s="9" t="inlineStr">
        <is>
          <t>29階</t>
        </is>
      </c>
      <c r="D322" s="9" t="inlineStr">
        <is>
          <t>数値（図面値で入力）</t>
        </is>
      </c>
      <c r="E322" s="9" t="inlineStr">
        <is>
          <t>【数値・図面値で入力】駐車場：図面は空欄のため台数・料金は入力しない（他の値：自走81台＋機械式200台・料金90,000〜170,000円/月＝MS記事／機械式200台・自走82台＝MR）。「あり（空き・料金要確認）」で入力。</t>
        </is>
      </c>
    </row>
    <row r="323">
      <c r="A323" s="9" t="inlineStr">
        <is>
          <t>13</t>
        </is>
      </c>
      <c r="B323" s="9" t="inlineStr">
        <is>
          <t>虎ノ門ヒルズ レジデンシャルタワー</t>
        </is>
      </c>
      <c r="C323" s="9" t="inlineStr">
        <is>
          <t>29階</t>
        </is>
      </c>
      <c r="D323" s="9" t="inlineStr">
        <is>
          <t>数値（図面値で入力）</t>
        </is>
      </c>
      <c r="E323" s="9" t="inlineStr">
        <is>
          <t>【数値・図面値で入力】トランクルーム：図面空欄のため未入力（他の値：15区画1.90〜3.99㎡＝MR）。本住戸の付帯は未確認。</t>
        </is>
      </c>
    </row>
    <row r="324">
      <c r="A324" s="9" t="inlineStr">
        <is>
          <t>13</t>
        </is>
      </c>
      <c r="B324" s="9" t="inlineStr">
        <is>
          <t>虎ノ門ヒルズ レジデンシャルタワー</t>
        </is>
      </c>
      <c r="C324" s="9" t="inlineStr">
        <is>
          <t>29階</t>
        </is>
      </c>
      <c r="D324" s="9" t="inlineStr">
        <is>
          <t>数値（図面値で入力）</t>
        </is>
      </c>
      <c r="E324" s="9" t="inlineStr">
        <is>
          <t>【数値・図面値で入力】総戸数：図面の547戸で入力（他の値：547戸＋サービスアパートメント160戸と読める＝森ビル竣工PR／547戸に含む＝TOKYO RENT）。</t>
        </is>
      </c>
    </row>
    <row r="325">
      <c r="A325" s="9" t="inlineStr">
        <is>
          <t>13</t>
        </is>
      </c>
      <c r="B325" s="9" t="inlineStr">
        <is>
          <t>虎ノ門ヒルズ レジデンシャルタワー</t>
        </is>
      </c>
      <c r="C325" s="9" t="inlineStr">
        <is>
          <t>29階</t>
        </is>
      </c>
      <c r="D325" s="9" t="inlineStr">
        <is>
          <t>数値（図面値で入力）</t>
        </is>
      </c>
      <c r="E325" s="9" t="inlineStr">
        <is>
          <t>【数値・図面値で入力】敷地面積：図面の5,988.37㎡（登記簿）で入力（他の値：約6,535㎡＝森ビル竣工PR）。</t>
        </is>
      </c>
    </row>
    <row r="326">
      <c r="A326" s="9" t="inlineStr">
        <is>
          <t>13</t>
        </is>
      </c>
      <c r="B326" s="9" t="inlineStr">
        <is>
          <t>虎ノ門ヒルズ レジデンシャルタワー</t>
        </is>
      </c>
      <c r="C326" s="9" t="inlineStr">
        <is>
          <t>29階</t>
        </is>
      </c>
      <c r="D326" s="9" t="inlineStr">
        <is>
          <t>数値（図面値で入力）</t>
        </is>
      </c>
      <c r="E326" s="9" t="inlineStr">
        <is>
          <t>【数値・図面値で入力】バイク置場：図面に記載なしのため台数・料金は入力しない（他の値：28台・15,000円/月＝MS記事・MR）。</t>
        </is>
      </c>
    </row>
    <row r="327">
      <c r="A327" s="9" t="inlineStr">
        <is>
          <t>13</t>
        </is>
      </c>
      <c r="B327" s="9" t="inlineStr">
        <is>
          <t>虎ノ門ヒルズ レジデンシャルタワー</t>
        </is>
      </c>
      <c r="C327" s="9" t="inlineStr">
        <is>
          <t>29階</t>
        </is>
      </c>
      <c r="D327" s="9" t="inlineStr">
        <is>
          <t>文言</t>
        </is>
      </c>
      <c r="E327" s="9" t="inlineStr">
        <is>
          <t>【文言】日本料理店の所在：図面「店舗棟：1階」／森ビル竣工PR「レジデンシャルタワー内に併設」。コメントは「建物内の日本料理店」と記載。</t>
        </is>
      </c>
    </row>
    <row r="328">
      <c r="A328" s="9" t="inlineStr">
        <is>
          <t>13</t>
        </is>
      </c>
      <c r="B328" s="9" t="inlineStr">
        <is>
          <t>虎ノ門ヒルズ レジデンシャルタワー</t>
        </is>
      </c>
      <c r="C328" s="9" t="inlineStr">
        <is>
          <t>29階</t>
        </is>
      </c>
      <c r="D328" s="9" t="inlineStr">
        <is>
          <t>文言</t>
        </is>
      </c>
      <c r="E328" s="9" t="inlineStr">
        <is>
          <t>【文言】許可済み画像はすべてKEN（元付）撮影で「Ken Corporation Ltd.」の透かし入り。各画像に watermark:true と note を付けた（comment20/100 は掲載文のみ）。透かし無しの原画を元付に依頼するか、このまま使うか判断が必要。</t>
        </is>
      </c>
    </row>
    <row r="329">
      <c r="A329" s="9" t="inlineStr">
        <is>
          <t>13</t>
        </is>
      </c>
      <c r="B329" s="9" t="inlineStr">
        <is>
          <t>虎ノ門ヒルズ レジデンシャルタワー</t>
        </is>
      </c>
      <c r="C329" s="9" t="inlineStr">
        <is>
          <t>29階</t>
        </is>
      </c>
      <c r="D329" s="9" t="inlineStr">
        <is>
          <t>文言</t>
        </is>
      </c>
      <c r="E329" s="9" t="inlineStr">
        <is>
          <t>【文言】写真01_リビングは家具がCG（KENキャプション）。comment20/100に（ＣＧ）と明記し、実写のリビング・眺望の後ろに置いた。使わない場合は外す。03〜05リビングは家具なしだが、実写かCG加工かはKENに明記なし。</t>
        </is>
      </c>
    </row>
    <row r="330">
      <c r="A330" s="9" t="inlineStr">
        <is>
          <t>13</t>
        </is>
      </c>
      <c r="B330" s="9" t="inlineStr">
        <is>
          <t>虎ノ門ヒルズ レジデンシャルタワー</t>
        </is>
      </c>
      <c r="C330" s="9" t="inlineStr">
        <is>
          <t>29階</t>
        </is>
      </c>
      <c r="D330" s="9" t="inlineStr">
        <is>
          <t>文言</t>
        </is>
      </c>
      <c r="E330" s="9" t="inlineStr">
        <is>
          <t>【文言】共用部05_スカイスイート専用フロント・14_スカイサロンはスカイスイート（43〜54階）専用で、29階住戸は使えないため掲載から外した（images_excluded）。</t>
        </is>
      </c>
    </row>
    <row r="331">
      <c r="A331" s="9" t="inlineStr">
        <is>
          <t>13</t>
        </is>
      </c>
      <c r="B331" s="9" t="inlineStr">
        <is>
          <t>虎ノ門ヒルズ レジデンシャルタワー</t>
        </is>
      </c>
      <c r="C331" s="9" t="inlineStr">
        <is>
          <t>29階</t>
        </is>
      </c>
      <c r="D331" s="9" t="inlineStr">
        <is>
          <t>文言</t>
        </is>
      </c>
      <c r="E331" s="9" t="inlineStr">
        <is>
          <t>【文言】共用部02_外観_航空写真は撮影時期が古く本建物が建設中の状態で写るため、images_pending_permission に移した（noteに理由）。</t>
        </is>
      </c>
    </row>
    <row r="332">
      <c r="A332" s="9" t="inlineStr">
        <is>
          <t>13</t>
        </is>
      </c>
      <c r="B332" s="9" t="inlineStr">
        <is>
          <t>虎ノ門ヒルズ レジデンシャルタワー</t>
        </is>
      </c>
      <c r="C332" s="9" t="inlineStr">
        <is>
          <t>29階</t>
        </is>
      </c>
      <c r="D332" s="9" t="inlineStr">
        <is>
          <t>文言</t>
        </is>
      </c>
      <c r="E332" s="9" t="inlineStr">
        <is>
          <t>【文言】外観写真は元画像の左右白余白をトリミングした派生ファイル（共用部/01_外観_余白除去.jpg）に差し替えた。photos.csv に追記済み。</t>
        </is>
      </c>
    </row>
    <row r="333">
      <c r="A333" s="9" t="inlineStr">
        <is>
          <t>13</t>
        </is>
      </c>
      <c r="B333" s="9" t="inlineStr">
        <is>
          <t>虎ノ門ヒルズ レジデンシャルタワー</t>
        </is>
      </c>
      <c r="C333" s="9" t="inlineStr">
        <is>
          <t>29階</t>
        </is>
      </c>
      <c r="D333" s="9" t="inlineStr">
        <is>
          <t>文言</t>
        </is>
      </c>
      <c r="E333" s="9" t="inlineStr">
        <is>
          <t>【文言】ハザード：重ねるハザードマップで想定最大規模の洪水浸水表示あり（深さは港区マップで要確認）。広告文には書いていない。重説で要確認。</t>
        </is>
      </c>
    </row>
    <row r="334">
      <c r="A334" s="9" t="inlineStr">
        <is>
          <t>13</t>
        </is>
      </c>
      <c r="B334" s="9" t="inlineStr">
        <is>
          <t>虎ノ門ヒルズ レジデンシャルタワー</t>
        </is>
      </c>
      <c r="C334" s="9" t="inlineStr">
        <is>
          <t>29階</t>
        </is>
      </c>
      <c r="D334" s="9" t="inlineStr">
        <is>
          <t>推測入力</t>
        </is>
      </c>
      <c r="E334" s="9" t="inlineStr">
        <is>
          <t>設備チェック「防犯カメラ」：図面の「4重セキュリティ」と24時間有人フロントから推測。</t>
        </is>
      </c>
    </row>
    <row r="335">
      <c r="A335" s="9" t="inlineStr">
        <is>
          <t>13</t>
        </is>
      </c>
      <c r="B335" s="9" t="inlineStr">
        <is>
          <t>虎ノ門ヒルズ レジデンシャルタワー</t>
        </is>
      </c>
      <c r="C335" s="9" t="inlineStr">
        <is>
          <t>29階</t>
        </is>
      </c>
      <c r="D335" s="9" t="inlineStr">
        <is>
          <t>推測入力</t>
        </is>
      </c>
      <c r="E335" s="9" t="inlineStr">
        <is>
          <t>設備チェック「全面フローリング」「システムキッチン」「3口以上コンロ」：KEN住戸の設備欄と写真（07キッチン・居室）を根拠に選択。</t>
        </is>
      </c>
    </row>
    <row r="336">
      <c r="A336" s="9" t="inlineStr">
        <is>
          <t>13</t>
        </is>
      </c>
      <c r="B336" s="9" t="inlineStr">
        <is>
          <t>虎ノ門ヒルズ レジデンシャルタワー</t>
        </is>
      </c>
      <c r="C336" s="9" t="inlineStr">
        <is>
          <t>29階</t>
        </is>
      </c>
      <c r="D336" s="9" t="inlineStr">
        <is>
          <t>推測入力</t>
        </is>
      </c>
      <c r="E336" s="9" t="inlineStr">
        <is>
          <t>コメントの表現（「家族と来客の動線を分けられる」「夜は周辺タワーの灯り」等）は間取図・夜景写真からの表現上の推測。</t>
        </is>
      </c>
    </row>
    <row r="337">
      <c r="A337" s="9" t="inlineStr">
        <is>
          <t>13</t>
        </is>
      </c>
      <c r="B337" s="9" t="inlineStr">
        <is>
          <t>虎ノ門ヒルズ レジデンシャルタワー</t>
        </is>
      </c>
      <c r="C337" s="9" t="inlineStr">
        <is>
          <t>29階</t>
        </is>
      </c>
      <c r="D337" s="9" t="inlineStr">
        <is>
          <t>推測入力</t>
        </is>
      </c>
      <c r="E337" s="9" t="inlineStr">
        <is>
          <t>画像カテゴリ：Bedroom（約7.9帖）は「洋室」、Master Bedroomは「寝室」、フロント・ギャラリーは「ロビー」、スパ・ライブラリー等は「その他共用部分」、航空写真は「その他」を選択。</t>
        </is>
      </c>
    </row>
    <row r="338">
      <c r="A338" s="9" t="inlineStr">
        <is>
          <t>13</t>
        </is>
      </c>
      <c r="B338" s="9" t="inlineStr">
        <is>
          <t>虎ノ門ヒルズ レジデンシャルタワー</t>
        </is>
      </c>
      <c r="C338" s="9" t="inlineStr">
        <is>
          <t>29階</t>
        </is>
      </c>
      <c r="D338" s="9" t="inlineStr">
        <is>
          <t>推測入力</t>
        </is>
      </c>
      <c r="E338" s="9" t="inlineStr">
        <is>
          <t>コメントの「来客の動線が寝室側に入らない」「床から天井までの窓」は間取図とリビング写真（03〜05）からの表現。</t>
        </is>
      </c>
    </row>
    <row r="339">
      <c r="A339" s="9" t="inlineStr">
        <is>
          <t>14</t>
        </is>
      </c>
      <c r="B339" s="9" t="inlineStr">
        <is>
          <t>リビオタワー品川</t>
        </is>
      </c>
      <c r="C339" s="9" t="inlineStr">
        <is>
          <t>34階</t>
        </is>
      </c>
      <c r="D339" s="9" t="inlineStr">
        <is>
          <t>数値（図面値で入力）</t>
        </is>
      </c>
      <c r="E339" s="9" t="inlineStr">
        <is>
          <t>【数値・図面値で入力】価格：図面の63,500万円で入力（他の値：68,000万円＝元付アンドデザインHP／63,500万円＝ウィル・モダンスタンダード・マンションレビュー）。元付HPが旧価格のままか元付に確認。</t>
        </is>
      </c>
    </row>
    <row r="340">
      <c r="A340" s="9" t="inlineStr">
        <is>
          <t>14</t>
        </is>
      </c>
      <c r="B340" s="9" t="inlineStr">
        <is>
          <t>リビオタワー品川</t>
        </is>
      </c>
      <c r="C340" s="9" t="inlineStr">
        <is>
          <t>34階</t>
        </is>
      </c>
      <c r="D340" s="9" t="inlineStr">
        <is>
          <t>数値（図面値で入力）</t>
        </is>
      </c>
      <c r="E340" s="9" t="inlineStr">
        <is>
          <t>【数値・図面値で入力】築年月：図面「2026年5月竣工予定」の2026年5月で入力（他の値：2026年5月11日竣工＝SUUMO売主広告）。「予定」は付けない。</t>
        </is>
      </c>
    </row>
    <row r="341">
      <c r="A341" s="9" t="inlineStr">
        <is>
          <t>14</t>
        </is>
      </c>
      <c r="B341" s="9" t="inlineStr">
        <is>
          <t>リビオタワー品川</t>
        </is>
      </c>
      <c r="C341" s="9" t="inlineStr">
        <is>
          <t>34階</t>
        </is>
      </c>
      <c r="D341" s="9" t="inlineStr">
        <is>
          <t>文言</t>
        </is>
      </c>
      <c r="E341" s="9" t="inlineStr">
        <is>
          <t>【文言】取引態様：売主代理・手数料1.5%税込（図面）／仲介（元付HP・ウィル・モダンスタンダード）。図面の「売主代理」で入力。</t>
        </is>
      </c>
    </row>
    <row r="342">
      <c r="A342" s="9" t="inlineStr">
        <is>
          <t>14</t>
        </is>
      </c>
      <c r="B342" s="9" t="inlineStr">
        <is>
          <t>リビオタワー品川</t>
        </is>
      </c>
      <c r="C342" s="9" t="inlineStr">
        <is>
          <t>34階</t>
        </is>
      </c>
      <c r="D342" s="9" t="inlineStr">
        <is>
          <t>数値（図面値で入力）</t>
        </is>
      </c>
      <c r="E342" s="9" t="inlineStr">
        <is>
          <t>【数値・図面値で入力】その他月額費用：図面の10,648円で入力（他の値：規約附表の内訳合計10,450円＝トランクルーム5,840円＋インターネット2,288円＋シャトルバス運営費2,322円）。198円差の理由は未確認。</t>
        </is>
      </c>
    </row>
    <row r="343">
      <c r="A343" s="9" t="inlineStr">
        <is>
          <t>14</t>
        </is>
      </c>
      <c r="B343" s="9" t="inlineStr">
        <is>
          <t>リビオタワー品川</t>
        </is>
      </c>
      <c r="C343" s="9" t="inlineStr">
        <is>
          <t>34階</t>
        </is>
      </c>
      <c r="D343" s="9" t="inlineStr">
        <is>
          <t>文言</t>
        </is>
      </c>
      <c r="E343" s="9" t="inlineStr">
        <is>
          <t>【文言】向き：北東角（元付間取図の方位記号から判読、⑤採用候補）／東（ウィル・モダンスタンダード・マンションレビュー）。21Cloudの向きは「北東」で入力、要確認。</t>
        </is>
      </c>
    </row>
    <row r="344">
      <c r="A344" s="9" t="inlineStr">
        <is>
          <t>14</t>
        </is>
      </c>
      <c r="B344" s="9" t="inlineStr">
        <is>
          <t>リビオタワー品川</t>
        </is>
      </c>
      <c r="C344" s="9" t="inlineStr">
        <is>
          <t>34階</t>
        </is>
      </c>
      <c r="D344" s="9" t="inlineStr">
        <is>
          <t>文言</t>
        </is>
      </c>
      <c r="E344" s="9" t="inlineStr">
        <is>
          <t>【文言】間取り表記：3LDK+3WIC（図面）／3LDK+3WIC+SIC（元付HP）／3LDK+3WIC+SIC+N+TR（間取図）。</t>
        </is>
      </c>
    </row>
    <row r="345">
      <c r="A345" s="9" t="inlineStr">
        <is>
          <t>14</t>
        </is>
      </c>
      <c r="B345" s="9" t="inlineStr">
        <is>
          <t>リビオタワー品川</t>
        </is>
      </c>
      <c r="C345" s="9" t="inlineStr">
        <is>
          <t>34階</t>
        </is>
      </c>
      <c r="D345" s="9" t="inlineStr">
        <is>
          <t>文言</t>
        </is>
      </c>
      <c r="E345" s="9" t="inlineStr">
        <is>
          <t>【文言】管理会社名：図面は旧社名「株式会社日鉄コミュニティ」。2026年1月5日に「日鉄興和不動産コミュニティ株式会社」へ商号変更。新社名で入力。</t>
        </is>
      </c>
    </row>
    <row r="346">
      <c r="A346" s="9" t="inlineStr">
        <is>
          <t>14</t>
        </is>
      </c>
      <c r="B346" s="9" t="inlineStr">
        <is>
          <t>リビオタワー品川</t>
        </is>
      </c>
      <c r="C346" s="9" t="inlineStr">
        <is>
          <t>34階</t>
        </is>
      </c>
      <c r="D346" s="9" t="inlineStr">
        <is>
          <t>文言</t>
        </is>
      </c>
      <c r="E346" s="9" t="inlineStr">
        <is>
          <t>【文言】管理員：図面「常駐」／公式「24時間有人管理」／東急リバブル「日勤」。「常駐（24時間有人管理）」で入力。</t>
        </is>
      </c>
    </row>
    <row r="347">
      <c r="A347" s="9" t="inlineStr">
        <is>
          <t>14</t>
        </is>
      </c>
      <c r="B347" s="9" t="inlineStr">
        <is>
          <t>リビオタワー品川</t>
        </is>
      </c>
      <c r="C347" s="9" t="inlineStr">
        <is>
          <t>34階</t>
        </is>
      </c>
      <c r="D347" s="9" t="inlineStr">
        <is>
          <t>文言</t>
        </is>
      </c>
      <c r="E347" s="9" t="inlineStr">
        <is>
          <t>【文言】所在地：図面の「港南三丁目7番2」は地番（公式が地番と明記）。住居表示は未確認（参考：港南3-4、第三者サイト）。</t>
        </is>
      </c>
    </row>
    <row r="348">
      <c r="A348" s="9" t="inlineStr">
        <is>
          <t>14</t>
        </is>
      </c>
      <c r="B348" s="9" t="inlineStr">
        <is>
          <t>リビオタワー品川</t>
        </is>
      </c>
      <c r="C348" s="9" t="inlineStr">
        <is>
          <t>34階</t>
        </is>
      </c>
      <c r="D348" s="9" t="inlineStr">
        <is>
          <t>文言</t>
        </is>
      </c>
      <c r="E348" s="9" t="inlineStr">
        <is>
          <t>【文言】専有面積の壁芯・内法の別は図面に記載なし。</t>
        </is>
      </c>
    </row>
    <row r="349">
      <c r="A349" s="9" t="inlineStr">
        <is>
          <t>14</t>
        </is>
      </c>
      <c r="B349" s="9" t="inlineStr">
        <is>
          <t>リビオタワー品川</t>
        </is>
      </c>
      <c r="C349" s="9" t="inlineStr">
        <is>
          <t>34階</t>
        </is>
      </c>
      <c r="D349" s="9" t="inlineStr">
        <is>
          <t>文言</t>
        </is>
      </c>
      <c r="E349" s="9" t="inlineStr">
        <is>
          <t>【文言】現売主：分譲時の売主は5社JV。本住戸の現在の売主（転売の場合の属性）は未確認。図面に「司法書士売主指定」の記載あり。</t>
        </is>
      </c>
    </row>
    <row r="350">
      <c r="A350" s="9" t="inlineStr">
        <is>
          <t>14</t>
        </is>
      </c>
      <c r="B350" s="9" t="inlineStr">
        <is>
          <t>リビオタワー品川</t>
        </is>
      </c>
      <c r="C350" s="9" t="inlineStr">
        <is>
          <t>34階</t>
        </is>
      </c>
      <c r="D350" s="9" t="inlineStr">
        <is>
          <t>数値（図面値で入力）</t>
        </is>
      </c>
      <c r="E350" s="9" t="inlineStr">
        <is>
          <t>【数値・図面値で入力】購入時一時金（修繕積立一時金1,302,400円・管理準備金52,090円、分譲時の附表値）は図面に記載がないため入力していない。本取引で発生するか未確認。</t>
        </is>
      </c>
    </row>
    <row r="351">
      <c r="A351" s="9" t="inlineStr">
        <is>
          <t>14</t>
        </is>
      </c>
      <c r="B351" s="9" t="inlineStr">
        <is>
          <t>リビオタワー品川</t>
        </is>
      </c>
      <c r="C351" s="9" t="inlineStr">
        <is>
          <t>34階</t>
        </is>
      </c>
      <c r="D351" s="9" t="inlineStr">
        <is>
          <t>文言</t>
        </is>
      </c>
      <c r="E351" s="9" t="inlineStr">
        <is>
          <t>【文言】図面上の広告掲載表記：「可（但し要連絡）」。掲載前に元付（アンドデザイン）へ連絡が必要。</t>
        </is>
      </c>
    </row>
    <row r="352">
      <c r="A352" s="9" t="inlineStr">
        <is>
          <t>14</t>
        </is>
      </c>
      <c r="B352" s="9" t="inlineStr">
        <is>
          <t>リビオタワー品川</t>
        </is>
      </c>
      <c r="C352" s="9" t="inlineStr">
        <is>
          <t>34階</t>
        </is>
      </c>
      <c r="D352" s="9" t="inlineStr">
        <is>
          <t>文言</t>
        </is>
      </c>
      <c r="E352" s="9" t="inlineStr">
        <is>
          <t>【文言】間取図：元付HP floorplan.jpg の「社内資料・計画段階」表記と全住戸配置表を除くため、住戸部分だけをトリミングした 34階/間取図/02_間取図_住戸部分.jpg に差し替えた（Readで確認済み、photos.csv 追記済み）。元画像は images_excluded。</t>
        </is>
      </c>
    </row>
    <row r="353">
      <c r="A353" s="9" t="inlineStr">
        <is>
          <t>14</t>
        </is>
      </c>
      <c r="B353" s="9" t="inlineStr">
        <is>
          <t>リビオタワー品川</t>
        </is>
      </c>
      <c r="C353" s="9" t="inlineStr">
        <is>
          <t>34階</t>
        </is>
      </c>
      <c r="D353" s="9" t="inlineStr">
        <is>
          <t>文言</t>
        </is>
      </c>
      <c r="E353" s="9" t="inlineStr">
        <is>
          <t>【文言】共用部05_エントランスは「内覧会」看板が写っていたため、トリミング版（共用部/05_エントランス_トリミング.jpg）に差し替えた。内覧会時の生花は残っている。</t>
        </is>
      </c>
    </row>
    <row r="354">
      <c r="A354" s="9" t="inlineStr">
        <is>
          <t>14</t>
        </is>
      </c>
      <c r="B354" s="9" t="inlineStr">
        <is>
          <t>リビオタワー品川</t>
        </is>
      </c>
      <c r="C354" s="9" t="inlineStr">
        <is>
          <t>34階</t>
        </is>
      </c>
      <c r="D354" s="9" t="inlineStr">
        <is>
          <t>文言</t>
        </is>
      </c>
      <c r="E354" s="9" t="inlineStr">
        <is>
          <t>【文言】1枚目を街路からの01_外観（看板・消防車が写る）から、植栽と館銘石の02_外観2に変更。01は共用部の先頭に回した。</t>
        </is>
      </c>
    </row>
    <row r="355">
      <c r="A355" s="9" t="inlineStr">
        <is>
          <t>14</t>
        </is>
      </c>
      <c r="B355" s="9" t="inlineStr">
        <is>
          <t>リビオタワー品川</t>
        </is>
      </c>
      <c r="C355" s="9" t="inlineStr">
        <is>
          <t>34階</t>
        </is>
      </c>
      <c r="D355" s="9" t="inlineStr">
        <is>
          <t>文言</t>
        </is>
      </c>
      <c r="E355" s="9" t="inlineStr">
        <is>
          <t>【文言】共用部26_内廊下の写真は中身がエレベーターホールだったため、カテゴリ・コメントをエレベーターホールに直した。</t>
        </is>
      </c>
    </row>
    <row r="356">
      <c r="A356" s="9" t="inlineStr">
        <is>
          <t>14</t>
        </is>
      </c>
      <c r="B356" s="9" t="inlineStr">
        <is>
          <t>リビオタワー品川</t>
        </is>
      </c>
      <c r="C356" s="9" t="inlineStr">
        <is>
          <t>34階</t>
        </is>
      </c>
      <c r="D356" s="9" t="inlineStr">
        <is>
          <t>文言</t>
        </is>
      </c>
      <c r="E356" s="9" t="inlineStr">
        <is>
          <t>【文言】写真04_眺望2と05_眺望3はほぼ同じ構図（解像度違い）。05を眺望の最後に置いた。枚数を絞る場合は05を外す。</t>
        </is>
      </c>
    </row>
    <row r="357">
      <c r="A357" s="9" t="inlineStr">
        <is>
          <t>14</t>
        </is>
      </c>
      <c r="B357" s="9" t="inlineStr">
        <is>
          <t>リビオタワー品川</t>
        </is>
      </c>
      <c r="C357" s="9" t="inlineStr">
        <is>
          <t>34階</t>
        </is>
      </c>
      <c r="D357" s="9" t="inlineStr">
        <is>
          <t>文言</t>
        </is>
      </c>
      <c r="E357" s="9" t="inlineStr">
        <is>
          <t>【文言】共用部13_大階段・16_スカイラウンジ・17_スカイラウンジ眺望に人物が写っている。気になる場合は外すかぼかし。</t>
        </is>
      </c>
    </row>
    <row r="358">
      <c r="A358" s="9" t="inlineStr">
        <is>
          <t>14</t>
        </is>
      </c>
      <c r="B358" s="9" t="inlineStr">
        <is>
          <t>リビオタワー品川</t>
        </is>
      </c>
      <c r="C358" s="9" t="inlineStr">
        <is>
          <t>34階</t>
        </is>
      </c>
      <c r="D358" s="9" t="inlineStr">
        <is>
          <t>文言</t>
        </is>
      </c>
      <c r="E358" s="9" t="inlineStr">
        <is>
          <t>【文言】共用部27_外観夜景CGは完成予想CGのため掲載から外した（images_excluded）。34階/_除外_該当住戸外/ の眺望イメージ2枚も対象外。</t>
        </is>
      </c>
    </row>
    <row r="359">
      <c r="A359" s="9" t="inlineStr">
        <is>
          <t>14</t>
        </is>
      </c>
      <c r="B359" s="9" t="inlineStr">
        <is>
          <t>リビオタワー品川</t>
        </is>
      </c>
      <c r="C359" s="9" t="inlineStr">
        <is>
          <t>34階</t>
        </is>
      </c>
      <c r="D359" s="9" t="inlineStr">
        <is>
          <t>文言</t>
        </is>
      </c>
      <c r="E359" s="9" t="inlineStr">
        <is>
          <t>【文言】室内の浴室・洗面・トイレ・玄関・洋室・WICは静止画がない（元付HPの360°ツアーのみ）。元付に静止画の提供を依頼するとよい。</t>
        </is>
      </c>
    </row>
    <row r="360">
      <c r="A360" s="9" t="inlineStr">
        <is>
          <t>14</t>
        </is>
      </c>
      <c r="B360" s="9" t="inlineStr">
        <is>
          <t>リビオタワー品川</t>
        </is>
      </c>
      <c r="C360" s="9" t="inlineStr">
        <is>
          <t>34階</t>
        </is>
      </c>
      <c r="D360" s="9" t="inlineStr">
        <is>
          <t>文言</t>
        </is>
      </c>
      <c r="E360" s="9" t="inlineStr">
        <is>
          <t>【文言】要許可の間取図（ウィル描き起こし）は「LDK約15.1帖」の表記が元付間取図と合わない。使わないのが安全。</t>
        </is>
      </c>
    </row>
    <row r="361">
      <c r="A361" s="9" t="inlineStr">
        <is>
          <t>14</t>
        </is>
      </c>
      <c r="B361" s="9" t="inlineStr">
        <is>
          <t>リビオタワー品川</t>
        </is>
      </c>
      <c r="C361" s="9" t="inlineStr">
        <is>
          <t>34階</t>
        </is>
      </c>
      <c r="D361" s="9" t="inlineStr">
        <is>
          <t>文言</t>
        </is>
      </c>
      <c r="E361" s="9" t="inlineStr">
        <is>
          <t>【文言】ハザード：港区高潮浸水ハザードマップで港南三丁目の大部分が0.5m未満、液状化は区分未確認。広告文には書いていない。重説で要確認。</t>
        </is>
      </c>
    </row>
    <row r="362">
      <c r="A362" s="9" t="inlineStr">
        <is>
          <t>14</t>
        </is>
      </c>
      <c r="B362" s="9" t="inlineStr">
        <is>
          <t>リビオタワー品川</t>
        </is>
      </c>
      <c r="C362" s="9" t="inlineStr">
        <is>
          <t>34階</t>
        </is>
      </c>
      <c r="D362" s="9" t="inlineStr">
        <is>
          <t>推測入力</t>
        </is>
      </c>
      <c r="E362" s="9" t="inlineStr">
        <is>
          <t>設備チェック「システムキッチン」：キッチン写真（07〜10）の造作から推測。</t>
        </is>
      </c>
    </row>
    <row r="363">
      <c r="A363" s="9" t="inlineStr">
        <is>
          <t>14</t>
        </is>
      </c>
      <c r="B363" s="9" t="inlineStr">
        <is>
          <t>リビオタワー品川</t>
        </is>
      </c>
      <c r="C363" s="9" t="inlineStr">
        <is>
          <t>34階</t>
        </is>
      </c>
      <c r="D363" s="9" t="inlineStr">
        <is>
          <t>推測入力</t>
        </is>
      </c>
      <c r="E363" s="9" t="inlineStr">
        <is>
          <t>コメントの表現（「湾岸の夜景」「朝の光」「家族それぞれの個室」など）は眺望写真・間取図からの表現上の推測。</t>
        </is>
      </c>
    </row>
    <row r="364">
      <c r="A364" s="9" t="inlineStr">
        <is>
          <t>14</t>
        </is>
      </c>
      <c r="B364" s="9" t="inlineStr">
        <is>
          <t>リビオタワー品川</t>
        </is>
      </c>
      <c r="C364" s="9" t="inlineStr">
        <is>
          <t>34階</t>
        </is>
      </c>
      <c r="D364" s="9" t="inlineStr">
        <is>
          <t>推測入力</t>
        </is>
      </c>
      <c r="E364" s="9" t="inlineStr">
        <is>
          <t>画像カテゴリ：車寄せ・館銘板・エントランス夜景は「エントランス」、エントランスラウンジ・大階段・吹抜けは「ロビー」、その他の共用施設は「その他共用部分」を選択。</t>
        </is>
      </c>
    </row>
    <row r="365">
      <c r="A365" s="9" t="inlineStr">
        <is>
          <t>14</t>
        </is>
      </c>
      <c r="B365" s="9" t="inlineStr">
        <is>
          <t>リビオタワー品川</t>
        </is>
      </c>
      <c r="C365" s="9" t="inlineStr">
        <is>
          <t>34階</t>
        </is>
      </c>
      <c r="D365" s="9" t="inlineStr">
        <is>
          <t>推測入力</t>
        </is>
      </c>
      <c r="E365" s="9" t="inlineStr">
        <is>
          <t>写真18_ラウンジがどの階のラウンジか（2Fオーナーズラウンジ等）は特定できないため、コメントでは階を書いていない。</t>
        </is>
      </c>
    </row>
    <row r="366">
      <c r="A366" s="9" t="inlineStr">
        <is>
          <t>14</t>
        </is>
      </c>
      <c r="B366" s="9" t="inlineStr">
        <is>
          <t>リビオタワー品川</t>
        </is>
      </c>
      <c r="C366" s="9" t="inlineStr">
        <is>
          <t>34階</t>
        </is>
      </c>
      <c r="D366" s="9" t="inlineStr">
        <is>
          <t>推測入力</t>
        </is>
      </c>
      <c r="E366" s="9" t="inlineStr">
        <is>
          <t>写真19_キッチンラウンジと20_ワークラウンジは同じ空間（1Fワークラウンジ）を別角度から撮ったものと判断。</t>
        </is>
      </c>
    </row>
    <row r="367">
      <c r="A367" s="9" t="inlineStr">
        <is>
          <t>15</t>
        </is>
      </c>
      <c r="B367" s="9" t="inlineStr">
        <is>
          <t>パークコート北青山</t>
        </is>
      </c>
      <c r="C367" s="9" t="inlineStr">
        <is>
          <t>5階</t>
        </is>
      </c>
      <c r="D367" s="9" t="inlineStr">
        <is>
          <t>数値（図面値で入力）</t>
        </is>
      </c>
      <c r="E367" s="9" t="inlineStr">
        <is>
          <t>【数値・図面値で入力】修繕積立金：図面の33,550円で入力（他の値：30,500円＝KEN・リハウス・ノムコム・PLAZA・SUUMOの5社）。改定や別項目の合算の可能性あり、元付（葵開発）に確認。</t>
        </is>
      </c>
    </row>
    <row r="368">
      <c r="A368" s="9" t="inlineStr">
        <is>
          <t>15</t>
        </is>
      </c>
      <c r="B368" s="9" t="inlineStr">
        <is>
          <t>パークコート北青山</t>
        </is>
      </c>
      <c r="C368" s="9" t="inlineStr">
        <is>
          <t>5階</t>
        </is>
      </c>
      <c r="D368" s="9" t="inlineStr">
        <is>
          <t>数値（図面値で入力）</t>
        </is>
      </c>
      <c r="E368" s="9" t="inlineStr">
        <is>
          <t>【数値・図面値で入力】築年月：図面の2025年3月で入力（他の値：2025年5月＝分譲会社リリース・リハウス・SUUMO／2025年6月＝KEN・三井の賃貸等。旧入力は⑤採用候補の2025年5月）。コメント内も「2025年3月竣工」に統一。</t>
        </is>
      </c>
    </row>
    <row r="369">
      <c r="A369" s="9" t="inlineStr">
        <is>
          <t>15</t>
        </is>
      </c>
      <c r="B369" s="9" t="inlineStr">
        <is>
          <t>パークコート北青山</t>
        </is>
      </c>
      <c r="C369" s="9" t="inlineStr">
        <is>
          <t>5階</t>
        </is>
      </c>
      <c r="D369" s="9" t="inlineStr">
        <is>
          <t>文言</t>
        </is>
      </c>
      <c r="E369" s="9" t="inlineStr">
        <is>
          <t>【文言】向き：南西（リハウス・SUUMO）／北西（KEN・PLAZA）／西（ノムコム、図面の方位記号の目視）。⑤採用候補の「西」で入力、要確認。</t>
        </is>
      </c>
    </row>
    <row r="370">
      <c r="A370" s="9" t="inlineStr">
        <is>
          <t>15</t>
        </is>
      </c>
      <c r="B370" s="9" t="inlineStr">
        <is>
          <t>パークコート北青山</t>
        </is>
      </c>
      <c r="C370" s="9" t="inlineStr">
        <is>
          <t>5階</t>
        </is>
      </c>
      <c r="D370" s="9" t="inlineStr">
        <is>
          <t>数値（図面値で入力）</t>
        </is>
      </c>
      <c r="E370" s="9" t="inlineStr">
        <is>
          <t>【数値・図面値で入力】敷地面積：図面の地積790.96㎡で入力（他の値：敷地面積790.99㎡＝分譲会社リリース）。</t>
        </is>
      </c>
    </row>
    <row r="371">
      <c r="A371" s="9" t="inlineStr">
        <is>
          <t>15</t>
        </is>
      </c>
      <c r="B371" s="9" t="inlineStr">
        <is>
          <t>パークコート北青山</t>
        </is>
      </c>
      <c r="C371" s="9" t="inlineStr">
        <is>
          <t>5階</t>
        </is>
      </c>
      <c r="D371" s="9" t="inlineStr">
        <is>
          <t>文言</t>
        </is>
      </c>
      <c r="E371" s="9" t="inlineStr">
        <is>
          <t>【文言】顔認証とPabbit：図面「顔認証システム採用（Pabbit）」／分譲会社リリースではPabbitは荷物認証式の宅配サービス。コメントでは顔認証とDXロッカーを分けて書いた。</t>
        </is>
      </c>
    </row>
    <row r="372">
      <c r="A372" s="9" t="inlineStr">
        <is>
          <t>15</t>
        </is>
      </c>
      <c r="B372" s="9" t="inlineStr">
        <is>
          <t>パークコート北青山</t>
        </is>
      </c>
      <c r="C372" s="9" t="inlineStr">
        <is>
          <t>5階</t>
        </is>
      </c>
      <c r="D372" s="9" t="inlineStr">
        <is>
          <t>文言</t>
        </is>
      </c>
      <c r="E372" s="9" t="inlineStr">
        <is>
          <t>【文言】元付（葵開発）に自社HPの掲載がない。許可済み画像は販売図面から切り出した6枚（外観・間取図・LDK・眺望・洗面・浴室）のみ。キッチン・居室・玄関・トイレ・バルコニー・共用部の写真はすべて要許可。</t>
        </is>
      </c>
    </row>
    <row r="373">
      <c r="A373" s="9" t="inlineStr">
        <is>
          <t>15</t>
        </is>
      </c>
      <c r="B373" s="9" t="inlineStr">
        <is>
          <t>パークコート北青山</t>
        </is>
      </c>
      <c r="C373" s="9" t="inlineStr">
        <is>
          <t>5階</t>
        </is>
      </c>
      <c r="D373" s="9" t="inlineStr">
        <is>
          <t>文言</t>
        </is>
      </c>
      <c r="E373" s="9" t="inlineStr">
        <is>
          <t>【文言】要許可のうち共用部14枚は分譲会社の公式物件サイト（31mansion.com）由来。残り101枚は他社掲載（KEN・リハウス・ノムコム・PLAZA HOMES）。KEN由来は透かし有、リハウスのLD・洋室の一部は家具配置例（家具は価格に含まない）。 要許可画像の「（透かし有・差替要）」「（他社作成）」の注記は comment から外し、watermark:true と note に移した。</t>
        </is>
      </c>
    </row>
    <row r="374">
      <c r="A374" s="9" t="inlineStr">
        <is>
          <t>15</t>
        </is>
      </c>
      <c r="B374" s="9" t="inlineStr">
        <is>
          <t>パークコート北青山</t>
        </is>
      </c>
      <c r="C374" s="9" t="inlineStr">
        <is>
          <t>5階</t>
        </is>
      </c>
      <c r="D374" s="9" t="inlineStr">
        <is>
          <t>文言</t>
        </is>
      </c>
      <c r="E374" s="9" t="inlineStr">
        <is>
          <t>【文言】図面から切り出した写真（浴室・洗面・眺望）に入っていた図面上の文字「浴室」「洗面」「眺望」は、PILでトリミングした派生ファイル（*_文字除去.jpg）に差し替えて除いた（Readで確認済み、photos.csv 追記済み）。元画像は images_excluded。</t>
        </is>
      </c>
    </row>
    <row r="375">
      <c r="A375" s="9" t="inlineStr">
        <is>
          <t>15</t>
        </is>
      </c>
      <c r="B375" s="9" t="inlineStr">
        <is>
          <t>パークコート北青山</t>
        </is>
      </c>
      <c r="C375" s="9" t="inlineStr">
        <is>
          <t>5階</t>
        </is>
      </c>
      <c r="D375" s="9" t="inlineStr">
        <is>
          <t>文言</t>
        </is>
      </c>
      <c r="E375" s="9" t="inlineStr">
        <is>
          <t>【文言】共用部のファイル名と中身が違うもの：共用部/02_外観2.jpg は館銘板、共用部/14_館銘板.jpg は外観（ゲートウォールの夕景）。カテゴリとコメントは中身に合わせた。</t>
        </is>
      </c>
    </row>
    <row r="376">
      <c r="A376" s="9" t="inlineStr">
        <is>
          <t>15</t>
        </is>
      </c>
      <c r="B376" s="9" t="inlineStr">
        <is>
          <t>パークコート北青山</t>
        </is>
      </c>
      <c r="C376" s="9" t="inlineStr">
        <is>
          <t>5階</t>
        </is>
      </c>
      <c r="D376" s="9" t="inlineStr">
        <is>
          <t>文言</t>
        </is>
      </c>
      <c r="E376" s="9" t="inlineStr">
        <is>
          <t>【文言】販売図面のキャッチコピー「希少性ある北青山アドレス」は禁止語を含むため使っていない。</t>
        </is>
      </c>
    </row>
    <row r="377">
      <c r="A377" s="9" t="inlineStr">
        <is>
          <t>15</t>
        </is>
      </c>
      <c r="B377" s="9" t="inlineStr">
        <is>
          <t>パークコート北青山</t>
        </is>
      </c>
      <c r="C377" s="9" t="inlineStr">
        <is>
          <t>5階</t>
        </is>
      </c>
      <c r="D377" s="9" t="inlineStr">
        <is>
          <t>文言</t>
        </is>
      </c>
      <c r="E377" s="9" t="inlineStr">
        <is>
          <t>【文言】KENのみ記載の「ディスポーザー」「コンシェルジュサービス」、他社のみ記載の3駅目（青山一丁目）は、根拠が弱いため入れていない。</t>
        </is>
      </c>
    </row>
    <row r="378">
      <c r="A378" s="9" t="inlineStr">
        <is>
          <t>15</t>
        </is>
      </c>
      <c r="B378" s="9" t="inlineStr">
        <is>
          <t>パークコート北青山</t>
        </is>
      </c>
      <c r="C378" s="9" t="inlineStr">
        <is>
          <t>5階</t>
        </is>
      </c>
      <c r="D378" s="9" t="inlineStr">
        <is>
          <t>文言</t>
        </is>
      </c>
      <c r="E378" s="9" t="inlineStr">
        <is>
          <t>【文言】内覧は立会いが必要（図面「案内要立会い」）。</t>
        </is>
      </c>
    </row>
    <row r="379">
      <c r="A379" s="9" t="inlineStr">
        <is>
          <t>15</t>
        </is>
      </c>
      <c r="B379" s="9" t="inlineStr">
        <is>
          <t>パークコート北青山</t>
        </is>
      </c>
      <c r="C379" s="9" t="inlineStr">
        <is>
          <t>5階</t>
        </is>
      </c>
      <c r="D379" s="9" t="inlineStr">
        <is>
          <t>文言</t>
        </is>
      </c>
      <c r="E379" s="9" t="inlineStr">
        <is>
          <t>【文言】図面上の広告可否表記は「記載なし」（取引態様：売主）。依頼者指示により承諾取得済として作成。</t>
        </is>
      </c>
    </row>
    <row r="380">
      <c r="A380" s="9" t="inlineStr">
        <is>
          <t>15</t>
        </is>
      </c>
      <c r="B380" s="9" t="inlineStr">
        <is>
          <t>パークコート北青山</t>
        </is>
      </c>
      <c r="C380" s="9" t="inlineStr">
        <is>
          <t>5階</t>
        </is>
      </c>
      <c r="D380" s="9" t="inlineStr">
        <is>
          <t>推測入力</t>
        </is>
      </c>
      <c r="E380" s="9" t="inlineStr">
        <is>
          <t>設備チェック「温水洗浄便座」：他社掲載のトイレ写真（29・30・41）から推測。</t>
        </is>
      </c>
    </row>
    <row r="381">
      <c r="A381" s="9" t="inlineStr">
        <is>
          <t>15</t>
        </is>
      </c>
      <c r="B381" s="9" t="inlineStr">
        <is>
          <t>パークコート北青山</t>
        </is>
      </c>
      <c r="C381" s="9" t="inlineStr">
        <is>
          <t>5階</t>
        </is>
      </c>
      <c r="D381" s="9" t="inlineStr">
        <is>
          <t>推測入力</t>
        </is>
      </c>
      <c r="E381" s="9" t="inlineStr">
        <is>
          <t>設備チェック「低層マンション／小規模マンション」：地上10階建・総戸数28戸から選択（21Cloudの項目名に合わせて選ぶ）。</t>
        </is>
      </c>
    </row>
    <row r="382">
      <c r="A382" s="9" t="inlineStr">
        <is>
          <t>15</t>
        </is>
      </c>
      <c r="B382" s="9" t="inlineStr">
        <is>
          <t>パークコート北青山</t>
        </is>
      </c>
      <c r="C382" s="9" t="inlineStr">
        <is>
          <t>5階</t>
        </is>
      </c>
      <c r="D382" s="9" t="inlineStr">
        <is>
          <t>推測入力</t>
        </is>
      </c>
      <c r="E382" s="9" t="inlineStr">
        <is>
          <t>コメントの表現（「曲面の窓に沿って家具を置ける」「帰宅のたびに緑に迎えられる」など）は写真と間取図からの表現上の推測。</t>
        </is>
      </c>
    </row>
    <row r="383">
      <c r="A383" s="9" t="inlineStr">
        <is>
          <t>15</t>
        </is>
      </c>
      <c r="B383" s="9" t="inlineStr">
        <is>
          <t>パークコート北青山</t>
        </is>
      </c>
      <c r="C383" s="9" t="inlineStr">
        <is>
          <t>5階</t>
        </is>
      </c>
      <c r="D383" s="9" t="inlineStr">
        <is>
          <t>推測入力</t>
        </is>
      </c>
      <c r="E383" s="9" t="inlineStr">
        <is>
          <t>要許可写真のコメントは部位ごとの共通文を使った（同じ部位の写真は同じ文になっているものがある）。許可が取れて使う写真だけ、必要に応じて書き分ける。</t>
        </is>
      </c>
    </row>
    <row r="384">
      <c r="A384" s="9" t="inlineStr">
        <is>
          <t>15</t>
        </is>
      </c>
      <c r="B384" s="9" t="inlineStr">
        <is>
          <t>パークコート北青山</t>
        </is>
      </c>
      <c r="C384" s="9" t="inlineStr">
        <is>
          <t>5階</t>
        </is>
      </c>
      <c r="D384" s="9" t="inlineStr">
        <is>
          <t>推測入力</t>
        </is>
      </c>
      <c r="E384" s="9" t="inlineStr">
        <is>
          <t>要許可の洋室写真（42〜47・56〜58）がRoom2・Room3のどちらかは特定していない。44・45は窓の数と広さから主寝室と判断し「寝室」カテゴリにした。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2026-09-28T08:02:08Z</dcterms:created>
  <dcterms:modified xmlns:dcterms="http://purl.org/dc/terms/" xmlns:xsi="http://www.w3.org/2001/XMLSchema-instance" xsi:type="dcterms:W3CDTF">2026-09-28T08:02:08Z</dcterms:modified>
</cp:coreProperties>
</file>