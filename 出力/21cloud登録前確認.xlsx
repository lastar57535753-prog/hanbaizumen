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登録前確認" sheetId="1" state="visible" r:id="rId1"/>
    <sheet xmlns:r="http://schemas.openxmlformats.org/officeDocument/2006/relationships" name="食い違い・確認事項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Hiragino Sans"/>
      <b val="1"/>
      <sz val="14"/>
    </font>
    <font>
      <name val="Hiragino Sans"/>
      <sz val="10"/>
    </font>
    <font>
      <name val="Hiragino Sans"/>
      <b val="1"/>
      <color rgb="00FFFFFF"/>
      <sz val="10"/>
    </font>
    <font>
      <name val="Hiragino Sans"/>
      <b val="1"/>
      <sz val="10"/>
    </font>
  </fonts>
  <fills count="5">
    <fill>
      <patternFill/>
    </fill>
    <fill>
      <patternFill patternType="gray125"/>
    </fill>
    <fill>
      <patternFill patternType="solid">
        <fgColor rgb="001A2C56"/>
      </patternFill>
    </fill>
    <fill>
      <patternFill patternType="solid">
        <fgColor rgb="00FBF8F2"/>
      </patternFill>
    </fill>
    <fill>
      <patternFill patternType="solid">
        <fgColor rgb="00F8D7D7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0" borderId="0" pivotButton="0" quotePrefix="0" xfId="0"/>
    <xf numFmtId="0" fontId="3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4" customWidth="1" min="4" max="4"/>
    <col width="11" customWidth="1" min="5" max="5"/>
    <col width="10" customWidth="1" min="6" max="6"/>
    <col width="8" customWidth="1" min="7" max="7"/>
    <col width="8" customWidth="1" min="8" max="8"/>
    <col width="12" customWidth="1" min="9" max="9"/>
    <col width="10" customWidth="1" min="10" max="10"/>
    <col width="60" customWidth="1" min="11" max="11"/>
    <col width="50" customWidth="1" min="12" max="12"/>
  </cols>
  <sheetData>
    <row r="1">
      <c r="A1" s="1" t="inlineStr">
        <is>
          <t>21Cloud 登録前確認一覧（数値は販売図面の値で入力・出稿）</t>
        </is>
      </c>
    </row>
    <row r="2">
      <c r="A2" s="2" t="inlineStr">
        <is>
          <t>写真は元付HP・販売図面由来のみ掲載。要許可写真は転載許可取得後に upload_photos.py --include-pending で追加可。詳細は各住戸の 21cloud入力.md。</t>
        </is>
      </c>
    </row>
    <row r="4">
      <c r="A4" s="3" t="inlineStr">
        <is>
          <t>No</t>
        </is>
      </c>
      <c r="B4" s="3" t="inlineStr">
        <is>
          <t>マンション</t>
        </is>
      </c>
      <c r="C4" s="3" t="inlineStr">
        <is>
          <t>住戸</t>
        </is>
      </c>
      <c r="D4" s="3" t="inlineStr">
        <is>
          <t>価格（図面）</t>
        </is>
      </c>
      <c r="E4" s="3" t="inlineStr">
        <is>
          <t>専有面積</t>
        </is>
      </c>
      <c r="F4" s="3" t="inlineStr">
        <is>
          <t>所在階</t>
        </is>
      </c>
      <c r="G4" s="3" t="inlineStr">
        <is>
          <t>許可済み写真</t>
        </is>
      </c>
      <c r="H4" s="3" t="inlineStr">
        <is>
          <t>要許可写真</t>
        </is>
      </c>
      <c r="I4" s="3" t="inlineStr">
        <is>
          <t>数値の食い違い（図面値で入力）</t>
        </is>
      </c>
      <c r="J4" s="3" t="inlineStr">
        <is>
          <t>文言の確認事項</t>
        </is>
      </c>
      <c r="K4" s="3" t="inlineStr">
        <is>
          <t>at homeおすすめコメント（100字）</t>
        </is>
      </c>
      <c r="L4" s="3" t="inlineStr">
        <is>
          <t>注意</t>
        </is>
      </c>
    </row>
    <row r="5" ht="62" customHeight="1">
      <c r="A5" s="4" t="inlineStr">
        <is>
          <t>01</t>
        </is>
      </c>
      <c r="B5" s="4" t="inlineStr">
        <is>
          <t>高輪ザ・レジデンス</t>
        </is>
      </c>
      <c r="C5" s="4" t="inlineStr">
        <is>
          <t>43階</t>
        </is>
      </c>
      <c r="D5" s="4" t="inlineStr">
        <is>
          <t>89800万円</t>
        </is>
      </c>
      <c r="E5" s="4" t="inlineStr">
        <is>
          <t>224.19㎡</t>
        </is>
      </c>
      <c r="F5" s="4" t="inlineStr">
        <is>
          <t>43階</t>
        </is>
      </c>
      <c r="G5" s="4" t="n">
        <v>26</v>
      </c>
      <c r="H5" s="4" t="n">
        <v>39</v>
      </c>
      <c r="I5" s="4" t="n">
        <v>8</v>
      </c>
      <c r="J5" s="4" t="n">
        <v>10</v>
      </c>
      <c r="K5" s="4" t="inlineStr">
        <is>
          <t>フルリノベーション済みの４３階、専有２２４．１９㎡。約５６．５７帖のＬＤＫにバーカウンターを備え、西向きのバルコニーから富士山を望めます（天候による）。主寝室約１６帖、浴室２か所。空室。</t>
        </is>
      </c>
      <c r="L5" s="4" t="inlineStr">
        <is>
          <t>図面に広告掲載の制限表記（承諾取得済みの前提）</t>
        </is>
      </c>
    </row>
    <row r="6" ht="62" customHeight="1">
      <c r="A6" s="5" t="inlineStr">
        <is>
          <t>01</t>
        </is>
      </c>
      <c r="B6" s="5" t="inlineStr">
        <is>
          <t>高輪ザ・レジデンス</t>
        </is>
      </c>
      <c r="C6" s="5" t="inlineStr">
        <is>
          <t>44階</t>
        </is>
      </c>
      <c r="D6" s="5" t="inlineStr">
        <is>
          <t>88700万円</t>
        </is>
      </c>
      <c r="E6" s="5" t="inlineStr">
        <is>
          <t>261.94㎡（壁芯）</t>
        </is>
      </c>
      <c r="F6" s="5" t="inlineStr">
        <is>
          <t>44階</t>
        </is>
      </c>
      <c r="G6" s="5" t="n">
        <v>46</v>
      </c>
      <c r="H6" s="5" t="n">
        <v>16</v>
      </c>
      <c r="I6" s="5" t="n">
        <v>7</v>
      </c>
      <c r="J6" s="5" t="n">
        <v>9</v>
      </c>
      <c r="K6" s="5" t="inlineStr">
        <is>
          <t>４４階の東向き、東京タワーとスカイツリーを望む専有２６１．９４㎡（天候による）。バルコニーは３か所、約３９．８帖のリビングは床暖房付き。約８帖の和室、浴室・洗面室・トイレ各２か所。空室。</t>
        </is>
      </c>
      <c r="L6" s="5" t="inlineStr">
        <is>
          <t>透かし入り15枚</t>
        </is>
      </c>
    </row>
    <row r="7" ht="62" customHeight="1">
      <c r="A7" s="4" t="inlineStr">
        <is>
          <t>01</t>
        </is>
      </c>
      <c r="B7" s="4" t="inlineStr">
        <is>
          <t>高輪ザ・レジデンス</t>
        </is>
      </c>
      <c r="C7" s="4" t="inlineStr">
        <is>
          <t>46-47階</t>
        </is>
      </c>
      <c r="D7" s="4" t="inlineStr">
        <is>
          <t>119000万円</t>
        </is>
      </c>
      <c r="E7" s="4" t="inlineStr">
        <is>
          <t>285.25㎡（壁芯）</t>
        </is>
      </c>
      <c r="F7" s="4" t="inlineStr">
        <is>
          <t>46・47階（メゾネット・最上階）</t>
        </is>
      </c>
      <c r="G7" s="4" t="n">
        <v>31</v>
      </c>
      <c r="H7" s="4" t="n">
        <v>22</v>
      </c>
      <c r="I7" s="4" t="n">
        <v>6</v>
      </c>
      <c r="J7" s="4" t="n">
        <v>11</v>
      </c>
      <c r="K7" s="4" t="inlineStr">
        <is>
          <t>最上階４６・４７階の２層メゾネット、専有２８５．２５㎡の南向き角住戸。約５０帖の吹抜けリビングに、サウナ、ジム、バー、ワインセラーを備えます。２０２４年１月改装。富士山眺望（天候による）。</t>
        </is>
      </c>
      <c r="L7" s="4" t="inlineStr">
        <is>
          <t>透かし入り28枚／図面に広告掲載の制限表記（承諾取得済みの前提）</t>
        </is>
      </c>
    </row>
    <row r="8" ht="62" customHeight="1">
      <c r="A8" s="5" t="inlineStr">
        <is>
          <t>02</t>
        </is>
      </c>
      <c r="B8" s="5" t="inlineStr">
        <is>
          <t>アクシア青山</t>
        </is>
      </c>
      <c r="C8" s="5" t="inlineStr">
        <is>
          <t>20階</t>
        </is>
      </c>
      <c r="D8" s="5" t="inlineStr">
        <is>
          <t>138000万円</t>
        </is>
      </c>
      <c r="E8" s="5" t="inlineStr">
        <is>
          <t>266.79㎡（壁芯）</t>
        </is>
      </c>
      <c r="F8" s="5" t="inlineStr">
        <is>
          <t>20階</t>
        </is>
      </c>
      <c r="G8" s="5" t="n">
        <v>21</v>
      </c>
      <c r="H8" s="5" t="n">
        <v>3</v>
      </c>
      <c r="I8" s="5" t="n">
        <v>6</v>
      </c>
      <c r="J8" s="5" t="n">
        <v>9</v>
      </c>
      <c r="K8" s="5" t="inlineStr">
        <is>
          <t>上階に住戸のない２０階の角住戸、専有２６６．７９㎡に計４９．８３㎡のルーフテラス。４面採光の５ＬＤＫで、ファミリールームと和室、トイレ３か所。コンシェルジュと２４時間有人管理。青山一丁目駅徒歩４分。</t>
        </is>
      </c>
      <c r="L8" s="5" t="inlineStr"/>
    </row>
    <row r="9" ht="62" customHeight="1">
      <c r="A9" s="4" t="inlineStr">
        <is>
          <t>03</t>
        </is>
      </c>
      <c r="B9" s="4" t="inlineStr">
        <is>
          <t>シティタワー高輪</t>
        </is>
      </c>
      <c r="C9" s="4" t="inlineStr">
        <is>
          <t>34階</t>
        </is>
      </c>
      <c r="D9" s="4" t="inlineStr">
        <is>
          <t>89800万円</t>
        </is>
      </c>
      <c r="E9" s="4" t="inlineStr">
        <is>
          <t>226.12㎡（壁芯）</t>
        </is>
      </c>
      <c r="F9" s="4" t="inlineStr">
        <is>
          <t>34階</t>
        </is>
      </c>
      <c r="G9" s="4" t="n">
        <v>24</v>
      </c>
      <c r="H9" s="4" t="n">
        <v>17</v>
      </c>
      <c r="I9" s="4" t="n">
        <v>4</v>
      </c>
      <c r="J9" s="4" t="n">
        <v>11</v>
      </c>
      <c r="K9" s="4" t="inlineStr">
        <is>
          <t>３４階の北東角住戸、専有２２６．１２㎡。東京タワー方面を望み（天候による）、約４６．６帖のＬＤＫに畳コーナー。平置き・シャッター付駐車場の専用使用権付き。２０１７年内装リフォーム実施済。</t>
        </is>
      </c>
      <c r="L9" s="4" t="inlineStr">
        <is>
          <t>図面に広告掲載の制限表記（承諾取得済みの前提）</t>
        </is>
      </c>
    </row>
    <row r="10" ht="62" customHeight="1">
      <c r="A10" s="5" t="inlineStr">
        <is>
          <t>04</t>
        </is>
      </c>
      <c r="B10" s="5" t="inlineStr">
        <is>
          <t>パークコート赤坂ザタワー</t>
        </is>
      </c>
      <c r="C10" s="5" t="inlineStr">
        <is>
          <t>4307号室</t>
        </is>
      </c>
      <c r="D10" s="5" t="inlineStr">
        <is>
          <t>188000万円</t>
        </is>
      </c>
      <c r="E10" s="5" t="inlineStr">
        <is>
          <t>218.19㎡</t>
        </is>
      </c>
      <c r="F10" s="5" t="inlineStr">
        <is>
          <t>43階</t>
        </is>
      </c>
      <c r="G10" s="6" t="n">
        <v>2</v>
      </c>
      <c r="H10" s="5" t="n">
        <v>26</v>
      </c>
      <c r="I10" s="5" t="n">
        <v>7</v>
      </c>
      <c r="J10" s="5" t="n">
        <v>13</v>
      </c>
      <c r="K10" s="5" t="inlineStr">
        <is>
          <t>北側一面に赤坂御所の緑を望む地上４３階建の４３階、専有２１８．１９ｍ２の３ＬＤＫ。２０２５年１月フルリノベーション完成、ＬＤＫ約５０．３帖。敷地内平置駐車場２台分の専用使用権付き。</t>
        </is>
      </c>
      <c r="L10" s="5" t="inlineStr">
        <is>
          <t>掲載写真が少ない（2枚）／図面に広告掲載の制限表記（承諾取得済みの前提）</t>
        </is>
      </c>
    </row>
    <row r="11" ht="62" customHeight="1">
      <c r="A11" s="4" t="inlineStr">
        <is>
          <t>05</t>
        </is>
      </c>
      <c r="B11" s="4" t="inlineStr">
        <is>
          <t>レフィール南麻布</t>
        </is>
      </c>
      <c r="C11" s="4" t="inlineStr">
        <is>
          <t>3-4階</t>
        </is>
      </c>
      <c r="D11" s="4" t="inlineStr">
        <is>
          <t>238000万円</t>
        </is>
      </c>
      <c r="E11" s="4" t="inlineStr">
        <is>
          <t>215.65㎡</t>
        </is>
      </c>
      <c r="F11" s="4" t="inlineStr">
        <is>
          <t>3階</t>
        </is>
      </c>
      <c r="G11" s="6" t="n">
        <v>0</v>
      </c>
      <c r="H11" s="4" t="n">
        <v>64</v>
      </c>
      <c r="I11" s="4" t="n">
        <v>7</v>
      </c>
      <c r="J11" s="4" t="n">
        <v>12</v>
      </c>
      <c r="K11" s="4" t="inlineStr">
        <is>
          <t>全１８戸・地上４階建の低層棟で、最上階を含む３・４階メゾネット２１５．６５ｍ２。北側に５２．５４ｍ２のルーフバルコニー。２０２６年６月内装リフォーム完成、住戸まで３重セキュリティ。</t>
        </is>
      </c>
      <c r="L11" s="4" t="inlineStr">
        <is>
          <t>掲載写真が少ない（0枚）</t>
        </is>
      </c>
    </row>
    <row r="12" ht="62" customHeight="1">
      <c r="A12" s="5" t="inlineStr">
        <is>
          <t>06</t>
        </is>
      </c>
      <c r="B12" s="5" t="inlineStr">
        <is>
          <t>アークヒルズ仙石山レジデンス</t>
        </is>
      </c>
      <c r="C12" s="5" t="inlineStr">
        <is>
          <t>18階</t>
        </is>
      </c>
      <c r="D12" s="5" t="inlineStr">
        <is>
          <t>190000万円</t>
        </is>
      </c>
      <c r="E12" s="5" t="inlineStr">
        <is>
          <t>210.31㎡</t>
        </is>
      </c>
      <c r="F12" s="5" t="inlineStr">
        <is>
          <t>18階</t>
        </is>
      </c>
      <c r="G12" s="5" t="n">
        <v>48</v>
      </c>
      <c r="H12" s="5" t="n">
        <v>1</v>
      </c>
      <c r="I12" s="5" t="n">
        <v>10</v>
      </c>
      <c r="J12" s="5" t="n">
        <v>7</v>
      </c>
      <c r="K12" s="5" t="inlineStr">
        <is>
          <t>東京タワーを望む１８階の北東・南東角住戸、専有２１０．３１ｍ２の４ＬＤＫ。ＬＤ約３５．８帖、三面バルコニー、２バス・３トイレ。森ビル分譲・管理で２４時間有人管理、バイリンガル対応フロント。</t>
        </is>
      </c>
      <c r="L12" s="5" t="inlineStr"/>
    </row>
    <row r="13" ht="62" customHeight="1">
      <c r="A13" s="4" t="inlineStr">
        <is>
          <t>07</t>
        </is>
      </c>
      <c r="B13" s="4" t="inlineStr">
        <is>
          <t>元麻布ヒルズフォレストタワー</t>
        </is>
      </c>
      <c r="C13" s="4" t="inlineStr">
        <is>
          <t>24階</t>
        </is>
      </c>
      <c r="D13" s="4" t="inlineStr">
        <is>
          <t>208000万円</t>
        </is>
      </c>
      <c r="E13" s="4" t="inlineStr">
        <is>
          <t>198.64㎡</t>
        </is>
      </c>
      <c r="F13" s="4" t="inlineStr">
        <is>
          <t>24階</t>
        </is>
      </c>
      <c r="G13" s="6" t="n">
        <v>3</v>
      </c>
      <c r="H13" s="4" t="n">
        <v>7</v>
      </c>
      <c r="I13" s="4" t="n">
        <v>7</v>
      </c>
      <c r="J13" s="4" t="n">
        <v>6</v>
      </c>
      <c r="K13" s="4" t="inlineStr">
        <is>
          <t>３方向にバルコニーを持つ専有１９８．６４㎡の２４階。ＬＤＫ約３９．９帖、主寝室約１８．１帖、浴室２か所。森ビル管理の免震タワーで、２４時間バイリンガル対応のフロントとドアマンが常駐。</t>
        </is>
      </c>
      <c r="L13" s="4" t="inlineStr">
        <is>
          <t>掲載写真が少ない（3枚）</t>
        </is>
      </c>
    </row>
    <row r="14" ht="62" customHeight="1">
      <c r="A14" s="5" t="inlineStr">
        <is>
          <t>08</t>
        </is>
      </c>
      <c r="B14" s="5" t="inlineStr">
        <is>
          <t>元麻布ヒルズ フォレストテラスイースト</t>
        </is>
      </c>
      <c r="C14" s="5" t="inlineStr">
        <is>
          <t>3階</t>
        </is>
      </c>
      <c r="D14" s="5" t="inlineStr">
        <is>
          <t>150000万円</t>
        </is>
      </c>
      <c r="E14" s="5" t="inlineStr">
        <is>
          <t>191.91㎡</t>
        </is>
      </c>
      <c r="F14" s="5" t="inlineStr">
        <is>
          <t>3階</t>
        </is>
      </c>
      <c r="G14" s="5" t="n">
        <v>23</v>
      </c>
      <c r="H14" s="5" t="n">
        <v>2</v>
      </c>
      <c r="I14" s="5" t="n">
        <v>5</v>
      </c>
      <c r="J14" s="5" t="n">
        <v>11</v>
      </c>
      <c r="K14" s="5" t="inlineStr">
        <is>
          <t>総戸数１９戸・地上５階の低層棟３階、南東向き専有１９１．９１㎡。ＬＤ約３２．７帖は２面バルコニーに面し、窓の外に敷地の緑。森ビルの２４時間有人管理とドアマン。２バス３トイレ、各寝室にＷＩＣ。</t>
        </is>
      </c>
      <c r="L14" s="5" t="inlineStr">
        <is>
          <t>透かし入り23枚</t>
        </is>
      </c>
    </row>
    <row r="15" ht="62" customHeight="1">
      <c r="A15" s="4" t="inlineStr">
        <is>
          <t>09</t>
        </is>
      </c>
      <c r="B15" s="4" t="inlineStr">
        <is>
          <t>パークコート虎ノ門愛宕タワー</t>
        </is>
      </c>
      <c r="C15" s="4" t="inlineStr">
        <is>
          <t>29-30階</t>
        </is>
      </c>
      <c r="D15" s="4" t="inlineStr">
        <is>
          <t>140000万円</t>
        </is>
      </c>
      <c r="E15" s="4" t="inlineStr">
        <is>
          <t>183.36㎡</t>
        </is>
      </c>
      <c r="F15" s="4" t="inlineStr">
        <is>
          <t>29・30階</t>
        </is>
      </c>
      <c r="G15" s="4" t="n">
        <v>10</v>
      </c>
      <c r="H15" s="4" t="n">
        <v>34</v>
      </c>
      <c r="I15" s="4" t="n">
        <v>3</v>
      </c>
      <c r="J15" s="4" t="n">
        <v>12</v>
      </c>
      <c r="K15" s="4" t="inlineStr">
        <is>
          <t>最上階を含む２９・３０階メゾネット、南東・北東の角住戸。ＬＤ約４０．３帖は吹き抜け天井高約６，０３０ｍｍ。ルーフバルコニー２５．７２㎡、大型ハイルーフ駐車場の専用使用権付き。神谷町駅徒歩４分。</t>
        </is>
      </c>
      <c r="L15" s="4" t="inlineStr"/>
    </row>
    <row r="16" ht="62" customHeight="1">
      <c r="A16" s="5" t="inlineStr">
        <is>
          <t>10</t>
        </is>
      </c>
      <c r="B16" s="5" t="inlineStr">
        <is>
          <t>東京ツインパークス</t>
        </is>
      </c>
      <c r="C16" s="5" t="inlineStr">
        <is>
          <t>レフトウィング4603号室</t>
        </is>
      </c>
      <c r="D16" s="5" t="inlineStr">
        <is>
          <t>99999万円</t>
        </is>
      </c>
      <c r="E16" s="5" t="inlineStr">
        <is>
          <t>183.19㎡</t>
        </is>
      </c>
      <c r="F16" s="5" t="inlineStr">
        <is>
          <t>46階</t>
        </is>
      </c>
      <c r="G16" s="6" t="n">
        <v>2</v>
      </c>
      <c r="H16" s="5" t="n">
        <v>38</v>
      </c>
      <c r="I16" s="5" t="n">
        <v>6</v>
      </c>
      <c r="J16" s="5" t="n">
        <v>9</v>
      </c>
      <c r="K16" s="5" t="inlineStr">
        <is>
          <t>東京タワーを正面に望む四十六階の南西・北西角住戸。専有一八三．一九㎡、約四十四帖のＬＤＫを持つ二ＬＤＫ。ザ・スカイハウス専用使用権と平置き付設駐車場付き。二十四時間有人管理、汐留駅徒歩二分。</t>
        </is>
      </c>
      <c r="L16" s="5" t="inlineStr">
        <is>
          <t>掲載写真が少ない（2枚）</t>
        </is>
      </c>
    </row>
    <row r="17" ht="62" customHeight="1">
      <c r="A17" s="4" t="inlineStr">
        <is>
          <t>11</t>
        </is>
      </c>
      <c r="B17" s="4" t="inlineStr">
        <is>
          <t>乃木坂パークハウス</t>
        </is>
      </c>
      <c r="C17" s="4" t="inlineStr">
        <is>
          <t>21階</t>
        </is>
      </c>
      <c r="D17" s="4" t="inlineStr">
        <is>
          <t>98000万円</t>
        </is>
      </c>
      <c r="E17" s="4" t="inlineStr">
        <is>
          <t>176.87㎡</t>
        </is>
      </c>
      <c r="F17" s="4" t="inlineStr">
        <is>
          <t>21階</t>
        </is>
      </c>
      <c r="G17" s="4" t="n">
        <v>7</v>
      </c>
      <c r="H17" s="4" t="n">
        <v>40</v>
      </c>
      <c r="I17" s="4" t="n">
        <v>4</v>
      </c>
      <c r="J17" s="4" t="n">
        <v>10</v>
      </c>
      <c r="K17" s="4" t="inlineStr">
        <is>
          <t>二十一階はワンフロア一住戸、四方すべてが外に面する角住戸。専有一七六．八七㎡の三ＬＤＫに玄関と浴室が二つずつ。四方向のバルコニーから都心と緑を望む。総戸数四十二戸、乃木坂駅徒歩二分。</t>
        </is>
      </c>
      <c r="L17" s="4" t="inlineStr">
        <is>
          <t>図面に広告掲載の制限表記（承諾取得済みの前提）</t>
        </is>
      </c>
    </row>
    <row r="18" ht="62" customHeight="1">
      <c r="A18" s="5" t="inlineStr">
        <is>
          <t>12</t>
        </is>
      </c>
      <c r="B18" s="5" t="inlineStr">
        <is>
          <t>HIKAWA GARDENS AKASAKA</t>
        </is>
      </c>
      <c r="C18" s="5" t="inlineStr">
        <is>
          <t>1階</t>
        </is>
      </c>
      <c r="D18" s="5" t="inlineStr">
        <is>
          <t>97800万円</t>
        </is>
      </c>
      <c r="E18" s="5" t="inlineStr">
        <is>
          <t>174.28㎡</t>
        </is>
      </c>
      <c r="F18" s="5" t="inlineStr">
        <is>
          <t>1階</t>
        </is>
      </c>
      <c r="G18" s="5" t="n">
        <v>15</v>
      </c>
      <c r="H18" s="5" t="n">
        <v>7</v>
      </c>
      <c r="I18" s="5" t="n">
        <v>4</v>
      </c>
      <c r="J18" s="5" t="n">
        <v>11</v>
      </c>
      <c r="K18" s="5" t="inlineStr">
        <is>
          <t>二か所のテラス（計三十五．〇五㎡）と約三十九．三帖のＬＤＫを持つ一階の三ＬＤＫ。総戸数十七戸の低層棟を平成三十年に一棟リノベーション。浴室二か所、屋内平置き駐車場の専用使用権付き。</t>
        </is>
      </c>
      <c r="L18" s="5" t="inlineStr">
        <is>
          <t>透かし入り13枚／図面に広告掲載の制限表記（承諾取得済みの前提）</t>
        </is>
      </c>
    </row>
    <row r="19" ht="62" customHeight="1">
      <c r="A19" s="4" t="inlineStr">
        <is>
          <t>13</t>
        </is>
      </c>
      <c r="B19" s="4" t="inlineStr">
        <is>
          <t>虎ノ門ヒルズ レジデンシャルタワー</t>
        </is>
      </c>
      <c r="C19" s="4" t="inlineStr">
        <is>
          <t>29階</t>
        </is>
      </c>
      <c r="D19" s="4" t="inlineStr">
        <is>
          <t>165000万円</t>
        </is>
      </c>
      <c r="E19" s="4" t="inlineStr">
        <is>
          <t>170.97㎡</t>
        </is>
      </c>
      <c r="F19" s="4" t="inlineStr">
        <is>
          <t>29階</t>
        </is>
      </c>
      <c r="G19" s="4" t="n">
        <v>27</v>
      </c>
      <c r="H19" s="4" t="n">
        <v>1</v>
      </c>
      <c r="I19" s="4" t="n">
        <v>5</v>
      </c>
      <c r="J19" s="4" t="n">
        <v>12</v>
      </c>
      <c r="K19" s="4" t="inlineStr">
        <is>
          <t>２９階北西角、専有１７０．９７㎡の２ＬＤＫ＋ＷＩＣ。二面が窓のＬＤ約４０．４帖、二つの寝室それぞれに専用の浴室とトイレ。森ビル開発・管理、２４時間バイリンガルフロント、虎ノ門ヒルズ駅徒歩２分。</t>
        </is>
      </c>
      <c r="L19" s="4" t="inlineStr">
        <is>
          <t>透かし入り27枚</t>
        </is>
      </c>
    </row>
    <row r="20" ht="62" customHeight="1">
      <c r="A20" s="5" t="inlineStr">
        <is>
          <t>14</t>
        </is>
      </c>
      <c r="B20" s="5" t="inlineStr">
        <is>
          <t>リビオタワー品川</t>
        </is>
      </c>
      <c r="C20" s="5" t="inlineStr">
        <is>
          <t>34階</t>
        </is>
      </c>
      <c r="D20" s="5" t="inlineStr">
        <is>
          <t>63500万円</t>
        </is>
      </c>
      <c r="E20" s="5" t="inlineStr">
        <is>
          <t>130.24㎡</t>
        </is>
      </c>
      <c r="F20" s="5" t="inlineStr">
        <is>
          <t>34階</t>
        </is>
      </c>
      <c r="G20" s="5" t="n">
        <v>40</v>
      </c>
      <c r="H20" s="5" t="n">
        <v>1</v>
      </c>
      <c r="I20" s="5" t="n">
        <v>4</v>
      </c>
      <c r="J20" s="5" t="n">
        <v>19</v>
      </c>
      <c r="K20" s="5" t="inlineStr">
        <is>
          <t>上階に住戸のない最上階３４階、全１５邸のプレミアムフロアの角住戸。天井高約２．９ｍ・約２５．５帖のＬＤからレインボーブリッジと東京湾を望む１３０．２４㎡の３ＬＤＫ。免震構造、未入居。</t>
        </is>
      </c>
      <c r="L20" s="5" t="inlineStr">
        <is>
          <t>図面に広告掲載の制限表記（承諾取得済みの前提）</t>
        </is>
      </c>
    </row>
    <row r="21" ht="62" customHeight="1">
      <c r="A21" s="4" t="inlineStr">
        <is>
          <t>15</t>
        </is>
      </c>
      <c r="B21" s="4" t="inlineStr">
        <is>
          <t>パークコート北青山</t>
        </is>
      </c>
      <c r="C21" s="4" t="inlineStr">
        <is>
          <t>5階</t>
        </is>
      </c>
      <c r="D21" s="4" t="inlineStr">
        <is>
          <t>59800万円</t>
        </is>
      </c>
      <c r="E21" s="4" t="inlineStr">
        <is>
          <t>111.73㎡</t>
        </is>
      </c>
      <c r="F21" s="4" t="inlineStr">
        <is>
          <t>5階</t>
        </is>
      </c>
      <c r="G21" s="4" t="n">
        <v>6</v>
      </c>
      <c r="H21" s="4" t="n">
        <v>115</v>
      </c>
      <c r="I21" s="4" t="n">
        <v>3</v>
      </c>
      <c r="J21" s="4" t="n">
        <v>10</v>
      </c>
      <c r="K21" s="4" t="inlineStr">
        <is>
          <t>総戸数２８戸・地上１０階建、築後未入居の５階角住戸。曲面の窓に沿うＬＤＫ約２７．７帖、専有１１１．７３㎡の３ＬＤＫ。顔認証の住戸ドア解除、床暖房６箇所。三井不動産レジデンシャル分譲。</t>
        </is>
      </c>
      <c r="L21" s="4" t="inlineStr"/>
    </row>
    <row r="22">
      <c r="F22" s="7" t="inlineStr">
        <is>
          <t>合計</t>
        </is>
      </c>
      <c r="G22" s="7">
        <f>SUM(G5:G21)</f>
        <v/>
      </c>
      <c r="H22" s="7">
        <f>SUM(H5:H21)</f>
        <v/>
      </c>
      <c r="I22" s="7">
        <f>SUM(I5:I21)</f>
        <v/>
      </c>
      <c r="J22" s="7">
        <f>SUM(J5:J21)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8" customWidth="1" min="4" max="4"/>
    <col width="110" customWidth="1" min="5" max="5"/>
  </cols>
  <sheetData>
    <row r="1">
      <c r="A1" s="8" t="inlineStr">
        <is>
          <t>No</t>
        </is>
      </c>
      <c r="B1" s="8" t="inlineStr">
        <is>
          <t>マンション</t>
        </is>
      </c>
      <c r="C1" s="8" t="inlineStr">
        <is>
          <t>住戸</t>
        </is>
      </c>
      <c r="D1" s="8" t="inlineStr">
        <is>
          <t>区分</t>
        </is>
      </c>
      <c r="E1" s="8" t="inlineStr">
        <is>
          <t>内容</t>
        </is>
      </c>
    </row>
    <row r="2">
      <c r="A2" s="9" t="inlineStr">
        <is>
          <t>01</t>
        </is>
      </c>
      <c r="B2" s="9" t="inlineStr">
        <is>
          <t>高輪ザ・レジデンス</t>
        </is>
      </c>
      <c r="C2" s="9" t="inlineStr">
        <is>
          <t>43階</t>
        </is>
      </c>
      <c r="D2" s="9" t="inlineStr">
        <is>
          <t>数値（図面値で入力）</t>
        </is>
      </c>
      <c r="E2" s="9" t="inlineStr">
        <is>
          <t>【数値・図面値で入力】高輪台：この住戸の元付図面A-p08の6分で入力（他の値：7分＝A-p01・A-p04・A-p05・A-p06）。</t>
        </is>
      </c>
    </row>
    <row r="3">
      <c r="A3" s="9" t="inlineStr">
        <is>
          <t>01</t>
        </is>
      </c>
      <c r="B3" s="9" t="inlineStr">
        <is>
          <t>高輪ザ・レジデンス</t>
        </is>
      </c>
      <c r="C3" s="9" t="inlineStr">
        <is>
          <t>43階</t>
        </is>
      </c>
      <c r="D3" s="9" t="inlineStr">
        <is>
          <t>数値（図面値で入力）</t>
        </is>
      </c>
      <c r="E3" s="9" t="inlineStr">
        <is>
          <t>【数値・図面値で入力】品川：A-p08の15分で入力（他の値：16分＝東京建物ライブラリー）。</t>
        </is>
      </c>
    </row>
    <row r="4">
      <c r="A4" s="9" t="inlineStr">
        <is>
          <t>01</t>
        </is>
      </c>
      <c r="B4" s="9" t="inlineStr">
        <is>
          <t>高輪ザ・レジデンス</t>
        </is>
      </c>
      <c r="C4" s="9" t="inlineStr">
        <is>
          <t>43階</t>
        </is>
      </c>
      <c r="D4" s="9" t="inlineStr">
        <is>
          <t>数値（図面値で入力）</t>
        </is>
      </c>
      <c r="E4" s="9" t="inlineStr">
        <is>
          <t>【数値・図面値で入力】泉岳寺：同建物A-p01の15分で入力（他の値：12分＝東京建物ライブラリー）。A-p08に記載なし。</t>
        </is>
      </c>
    </row>
    <row r="5">
      <c r="A5" s="9" t="inlineStr">
        <is>
          <t>01</t>
        </is>
      </c>
      <c r="B5" s="9" t="inlineStr">
        <is>
          <t>高輪ザ・レジデンス</t>
        </is>
      </c>
      <c r="C5" s="9" t="inlineStr">
        <is>
          <t>43階</t>
        </is>
      </c>
      <c r="D5" s="9" t="inlineStr">
        <is>
          <t>数値（図面値で入力）</t>
        </is>
      </c>
      <c r="E5" s="9" t="inlineStr">
        <is>
          <t>【数値・図面値で入力】白金台・高輪ゲートウェイ：A-p08に記載がないため、同建物の図面のうち長いほうの値（白金台10分＝A-p01／他の値：8分＝A-p02・A-p04・A-p05、高輪ゲートウェイ16分＝A-p01／他の値：14分＝A-p02、11分＝A-p06）で入力。</t>
        </is>
      </c>
    </row>
    <row r="6">
      <c r="A6" s="9" t="inlineStr">
        <is>
          <t>01</t>
        </is>
      </c>
      <c r="B6" s="9" t="inlineStr">
        <is>
          <t>高輪ザ・レジデンス</t>
        </is>
      </c>
      <c r="C6" s="9" t="inlineStr">
        <is>
          <t>43階</t>
        </is>
      </c>
      <c r="D6" s="9" t="inlineStr">
        <is>
          <t>数値（図面値で入力）</t>
        </is>
      </c>
      <c r="E6" s="9" t="inlineStr">
        <is>
          <t>【数値・図面値で入力】駐車場：A-p08に記載なし。同建物A-p02の「有・月額35,000〜65,000円」で入力。空き状況は管理会社に確認。掲載文は「空き状況はお問い合わせください」とした。</t>
        </is>
      </c>
    </row>
    <row r="7">
      <c r="A7" s="9" t="inlineStr">
        <is>
          <t>01</t>
        </is>
      </c>
      <c r="B7" s="9" t="inlineStr">
        <is>
          <t>高輪ザ・レジデンス</t>
        </is>
      </c>
      <c r="C7" s="9" t="inlineStr">
        <is>
          <t>43階</t>
        </is>
      </c>
      <c r="D7" s="9" t="inlineStr">
        <is>
          <t>数値（図面値で入力）</t>
        </is>
      </c>
      <c r="E7" s="9" t="inlineStr">
        <is>
          <t>【数値・図面値で入力】月額合計：161,295円（A-p08の記載項目の合計。図面に合計の記載なし）。特定階負担金の有無は不明（44階以上の住戸にはあり）。ケン43階HPは「その他費用なし」。</t>
        </is>
      </c>
    </row>
    <row r="8">
      <c r="A8" s="9" t="inlineStr">
        <is>
          <t>01</t>
        </is>
      </c>
      <c r="B8" s="9" t="inlineStr">
        <is>
          <t>高輪ザ・レジデンス</t>
        </is>
      </c>
      <c r="C8" s="9" t="inlineStr">
        <is>
          <t>43階</t>
        </is>
      </c>
      <c r="D8" s="9" t="inlineStr">
        <is>
          <t>数値（図面値で入力）</t>
        </is>
      </c>
      <c r="E8" s="9" t="inlineStr">
        <is>
          <t>【数値・図面値で入力】専有面積の壁芯／登記の別：A-p08に記載なし（RMのSUUMO掲載は「登記」、タカマツハウス・HOME'Sは「壁芯」）。値は図面の224.19㎡。</t>
        </is>
      </c>
    </row>
    <row r="9">
      <c r="A9" s="9" t="inlineStr">
        <is>
          <t>01</t>
        </is>
      </c>
      <c r="B9" s="9" t="inlineStr">
        <is>
          <t>高輪ザ・レジデンス</t>
        </is>
      </c>
      <c r="C9" s="9" t="inlineStr">
        <is>
          <t>43階</t>
        </is>
      </c>
      <c r="D9" s="9" t="inlineStr">
        <is>
          <t>数値（図面値で入力）</t>
        </is>
      </c>
      <c r="E9" s="9" t="inlineStr">
        <is>
          <t>【数値・図面値で入力】総戸数：574戸（全図面）で入力（他の値：575戸＝東京建物ライブラリー）。</t>
        </is>
      </c>
    </row>
    <row r="10">
      <c r="A10" s="9" t="inlineStr">
        <is>
          <t>01</t>
        </is>
      </c>
      <c r="B10" s="9" t="inlineStr">
        <is>
          <t>高輪ザ・レジデンス</t>
        </is>
      </c>
      <c r="C10" s="9" t="inlineStr">
        <is>
          <t>43階</t>
        </is>
      </c>
      <c r="D10" s="9" t="inlineStr">
        <is>
          <t>文言</t>
        </is>
      </c>
      <c r="E10" s="9" t="inlineStr">
        <is>
          <t>【文言】リフォーム時期：A-p08は「フルリノベーション済」のみ／ケン43階HP・RMのHOME'S掲載「2025年12月実施」。図面に時期がないため掲載文は「フルリノベーション済」のみ。</t>
        </is>
      </c>
    </row>
    <row r="11">
      <c r="A11" s="9" t="inlineStr">
        <is>
          <t>01</t>
        </is>
      </c>
      <c r="B11" s="9" t="inlineStr">
        <is>
          <t>高輪ザ・レジデンス</t>
        </is>
      </c>
      <c r="C11" s="9" t="inlineStr">
        <is>
          <t>43階</t>
        </is>
      </c>
      <c r="D11" s="9" t="inlineStr">
        <is>
          <t>文言</t>
        </is>
      </c>
      <c r="E11" s="9" t="inlineStr">
        <is>
          <t>【文言】向き：西（ケン43階HP・RMのHOME'S掲載）。図面に向きの記載なし。</t>
        </is>
      </c>
    </row>
    <row r="12">
      <c r="A12" s="9" t="inlineStr">
        <is>
          <t>01</t>
        </is>
      </c>
      <c r="B12" s="9" t="inlineStr">
        <is>
          <t>高輪ザ・レジデンス</t>
        </is>
      </c>
      <c r="C12" s="9" t="inlineStr">
        <is>
          <t>43階</t>
        </is>
      </c>
      <c r="D12" s="9" t="inlineStr">
        <is>
          <t>文言</t>
        </is>
      </c>
      <c r="E12" s="9" t="inlineStr">
        <is>
          <t>【文言】間取り表記：3LDK＋DEN＋4S＋3WIC＋SIC（A-p08）／3LDK＋S（ケン43階HP）。A-p08の表記を入れた。</t>
        </is>
      </c>
    </row>
    <row r="13">
      <c r="A13" s="9" t="inlineStr">
        <is>
          <t>01</t>
        </is>
      </c>
      <c r="B13" s="9" t="inlineStr">
        <is>
          <t>高輪ザ・レジデンス</t>
        </is>
      </c>
      <c r="C13" s="9" t="inlineStr">
        <is>
          <t>43階</t>
        </is>
      </c>
      <c r="D13" s="9" t="inlineStr">
        <is>
          <t>文言</t>
        </is>
      </c>
      <c r="E13" s="9" t="inlineStr">
        <is>
          <t>【文言】A-p08の図面に「広告掲載不可」の表記。依頼者は承諾取得済との指示。</t>
        </is>
      </c>
    </row>
    <row r="14">
      <c r="A14" s="9" t="inlineStr">
        <is>
          <t>01</t>
        </is>
      </c>
      <c r="B14" s="9" t="inlineStr">
        <is>
          <t>高輪ザ・レジデンス</t>
        </is>
      </c>
      <c r="C14" s="9" t="inlineStr">
        <is>
          <t>43階</t>
        </is>
      </c>
      <c r="D14" s="9" t="inlineStr">
        <is>
          <t>文言</t>
        </is>
      </c>
      <c r="E14" s="9" t="inlineStr">
        <is>
          <t>【文言】A-p08の特記「外国籍の方の内覧は事前に資金証明の提出が必要」を備考・アピールに記載した。</t>
        </is>
      </c>
    </row>
    <row r="15">
      <c r="A15" s="9" t="inlineStr">
        <is>
          <t>01</t>
        </is>
      </c>
      <c r="B15" s="9" t="inlineStr">
        <is>
          <t>高輪ザ・レジデンス</t>
        </is>
      </c>
      <c r="C15" s="9" t="inlineStr">
        <is>
          <t>43階</t>
        </is>
      </c>
      <c r="D15" s="9" t="inlineStr">
        <is>
          <t>文言</t>
        </is>
      </c>
      <c r="E15" s="9" t="inlineStr">
        <is>
          <t>【文言】用途地域：A-p08は「商業地域」のみ。港区用途地域図・A-p04の3種（商業・第一種住居・近隣商業）で入力。面積按分は重説で確認。</t>
        </is>
      </c>
    </row>
    <row r="16">
      <c r="A16" s="9" t="inlineStr">
        <is>
          <t>01</t>
        </is>
      </c>
      <c r="B16" s="9" t="inlineStr">
        <is>
          <t>高輪ザ・レジデンス</t>
        </is>
      </c>
      <c r="C16" s="9" t="inlineStr">
        <is>
          <t>43階</t>
        </is>
      </c>
      <c r="D16" s="9" t="inlineStr">
        <is>
          <t>文言</t>
        </is>
      </c>
      <c r="E16" s="9" t="inlineStr">
        <is>
          <t>【文言】写真の転載範囲：43階の元付はRMパートナーズのみ。RMのHP由来と販売図面A-p08由来だけを images に入れた。間取図は A-p08 から切り出した 43階/間取図/02_間取図_販売図面.jpg に差し替え。ケン・コーポレーションHP由来の間取図・眺望（元付外）と、同じ建物の他住戸の元付（野村・東急リバブル・サザビーズ・ケン）HP由来の共用部写真24枚は images_pending_permission に移した。</t>
        </is>
      </c>
    </row>
    <row r="17">
      <c r="A17" s="9" t="inlineStr">
        <is>
          <t>01</t>
        </is>
      </c>
      <c r="B17" s="9" t="inlineStr">
        <is>
          <t>高輪ザ・レジデンス</t>
        </is>
      </c>
      <c r="C17" s="9" t="inlineStr">
        <is>
          <t>43階</t>
        </is>
      </c>
      <c r="D17" s="9" t="inlineStr">
        <is>
          <t>文言</t>
        </is>
      </c>
      <c r="E17" s="9" t="inlineStr">
        <is>
          <t>【文言】その結果、許可済み写真に外観・共用部・眺望の写真がない。1枚目はLDKにした。外観・共用部を載せる場合は、RMパートナーズに写真提供を依頼するか、他住戸の元付に転載範囲を確認。</t>
        </is>
      </c>
    </row>
    <row r="18">
      <c r="A18" s="9" t="inlineStr">
        <is>
          <t>01</t>
        </is>
      </c>
      <c r="B18" s="9" t="inlineStr">
        <is>
          <t>高輪ザ・レジデンス</t>
        </is>
      </c>
      <c r="C18" s="9" t="inlineStr">
        <is>
          <t>43階</t>
        </is>
      </c>
      <c r="D18" s="9" t="inlineStr">
        <is>
          <t>文言</t>
        </is>
      </c>
      <c r="E18" s="9" t="inlineStr">
        <is>
          <t>【文言】43階/_参考_リフォーム前/01_間取図_リフォーム前.jpg は現況と異なる（2011年の賃貸募集時）ため、images・要許可のどちらにも入れていない。</t>
        </is>
      </c>
    </row>
    <row r="19">
      <c r="A19" s="9" t="inlineStr">
        <is>
          <t>01</t>
        </is>
      </c>
      <c r="B19" s="9" t="inlineStr">
        <is>
          <t>高輪ザ・レジデンス</t>
        </is>
      </c>
      <c r="C19" s="9" t="inlineStr">
        <is>
          <t>43階</t>
        </is>
      </c>
      <c r="D19" s="9" t="inlineStr">
        <is>
          <t>文言</t>
        </is>
      </c>
      <c r="E19" s="9" t="inlineStr">
        <is>
          <t>【文言】富士山が写った眺望写真はない。バルコニー写真のコメントで「天候により富士山を望めます」と表現。</t>
        </is>
      </c>
    </row>
    <row r="20">
      <c r="A20" s="9" t="inlineStr">
        <is>
          <t>01</t>
        </is>
      </c>
      <c r="B20" s="9" t="inlineStr">
        <is>
          <t>高輪ザ・レジデンス</t>
        </is>
      </c>
      <c r="C20" s="9" t="inlineStr">
        <is>
          <t>43階</t>
        </is>
      </c>
      <c r="D20" s="9" t="inlineStr">
        <is>
          <t>推測入力</t>
        </is>
      </c>
      <c r="E20" s="9" t="inlineStr">
        <is>
          <t>写真12・13の洋室がどちら（洋室(1)(2)・DEN）に当たるかは特定できないため、いずれも「洋室(21)」とした。</t>
        </is>
      </c>
    </row>
    <row r="21">
      <c r="A21" s="9" t="inlineStr">
        <is>
          <t>01</t>
        </is>
      </c>
      <c r="B21" s="9" t="inlineStr">
        <is>
          <t>高輪ザ・レジデンス</t>
        </is>
      </c>
      <c r="C21" s="9" t="inlineStr">
        <is>
          <t>43階</t>
        </is>
      </c>
      <c r="D21" s="9" t="inlineStr">
        <is>
          <t>推測入力</t>
        </is>
      </c>
      <c r="E21" s="9" t="inlineStr">
        <is>
          <t>写真15・16は棚だけの部屋のため「収納(12)」とし、16を「納戸」と表現した（図面の4Sのどれかは特定不可）。</t>
        </is>
      </c>
    </row>
    <row r="22">
      <c r="A22" s="9" t="inlineStr">
        <is>
          <t>01</t>
        </is>
      </c>
      <c r="B22" s="9" t="inlineStr">
        <is>
          <t>高輪ザ・レジデンス</t>
        </is>
      </c>
      <c r="C22" s="9" t="inlineStr">
        <is>
          <t>43階</t>
        </is>
      </c>
      <c r="D22" s="9" t="inlineStr">
        <is>
          <t>推測入力</t>
        </is>
      </c>
      <c r="E22" s="9" t="inlineStr">
        <is>
          <t>写真09（シンク・冷蔵設備）はバーカウンター裏の作業スペースと判断し「キッチン(5)」とした。</t>
        </is>
      </c>
    </row>
    <row r="23">
      <c r="A23" s="9" t="inlineStr">
        <is>
          <t>01</t>
        </is>
      </c>
      <c r="B23" s="9" t="inlineStr">
        <is>
          <t>高輪ザ・レジデンス</t>
        </is>
      </c>
      <c r="C23" s="9" t="inlineStr">
        <is>
          <t>43階</t>
        </is>
      </c>
      <c r="D23" s="9" t="inlineStr">
        <is>
          <t>推測入力</t>
        </is>
      </c>
      <c r="E23" s="9" t="inlineStr">
        <is>
          <t>写真24を「2か所目の玄関」とした（A-p08の平面図に玄関が2か所）。写真25（廊下）・26（ホール）は「その他内観(38)」。</t>
        </is>
      </c>
    </row>
    <row r="24">
      <c r="A24" s="9" t="inlineStr">
        <is>
          <t>01</t>
        </is>
      </c>
      <c r="B24" s="9" t="inlineStr">
        <is>
          <t>高輪ザ・レジデンス</t>
        </is>
      </c>
      <c r="C24" s="9" t="inlineStr">
        <is>
          <t>43階</t>
        </is>
      </c>
      <c r="D24" s="9" t="inlineStr">
        <is>
          <t>推測入力</t>
        </is>
      </c>
      <c r="E24" s="9" t="inlineStr">
        <is>
          <t>設備チェック「システムキッチン」「カウンターキッチン」「アイランドキッチン」は写真からの判断。</t>
        </is>
      </c>
    </row>
    <row r="25">
      <c r="A25" s="9" t="inlineStr">
        <is>
          <t>01</t>
        </is>
      </c>
      <c r="B25" s="9" t="inlineStr">
        <is>
          <t>高輪ザ・レジデンス</t>
        </is>
      </c>
      <c r="C25" s="9" t="inlineStr">
        <is>
          <t>43階</t>
        </is>
      </c>
      <c r="D25" s="9" t="inlineStr">
        <is>
          <t>推測入力</t>
        </is>
      </c>
      <c r="E25" s="9" t="inlineStr">
        <is>
          <t>1枚目（物件の顔）は、許可済みの外観写真がないためLDK（写真01）にした。</t>
        </is>
      </c>
    </row>
    <row r="26">
      <c r="A26" s="9" t="inlineStr">
        <is>
          <t>01</t>
        </is>
      </c>
      <c r="B26" s="9" t="inlineStr">
        <is>
          <t>高輪ザ・レジデンス</t>
        </is>
      </c>
      <c r="C26" s="9" t="inlineStr">
        <is>
          <t>43階</t>
        </is>
      </c>
      <c r="D26" s="9" t="inlineStr">
        <is>
          <t>推測入力</t>
        </is>
      </c>
      <c r="E26" s="9" t="inlineStr">
        <is>
          <t>コメントの表現（暮らしのイメージ部分）は写真と図面からの推測を含む。</t>
        </is>
      </c>
    </row>
    <row r="27">
      <c r="A27" s="9" t="inlineStr">
        <is>
          <t>01</t>
        </is>
      </c>
      <c r="B27" s="9" t="inlineStr">
        <is>
          <t>高輪ザ・レジデンス</t>
        </is>
      </c>
      <c r="C27" s="9" t="inlineStr">
        <is>
          <t>44階</t>
        </is>
      </c>
      <c r="D27" s="9" t="inlineStr">
        <is>
          <t>数値（図面値で入力）</t>
        </is>
      </c>
      <c r="E27" s="9" t="inlineStr">
        <is>
          <t>【数値・図面値で入力】白金台：この住戸の元付図面A-p04・A-p05の8分で入力（他の値：10分＝A-p01・東京建物ライブラリー）。</t>
        </is>
      </c>
    </row>
    <row r="28">
      <c r="A28" s="9" t="inlineStr">
        <is>
          <t>01</t>
        </is>
      </c>
      <c r="B28" s="9" t="inlineStr">
        <is>
          <t>高輪ザ・レジデンス</t>
        </is>
      </c>
      <c r="C28" s="9" t="inlineStr">
        <is>
          <t>44階</t>
        </is>
      </c>
      <c r="D28" s="9" t="inlineStr">
        <is>
          <t>数値（図面値で入力）</t>
        </is>
      </c>
      <c r="E28" s="9" t="inlineStr">
        <is>
          <t>【数値・図面値で入力】高輪ゲートウェイ：この住戸の元付図面A-p06の11分で入力（他の値：16分＝A-p01、14分＝A-p02）。</t>
        </is>
      </c>
    </row>
    <row r="29">
      <c r="A29" s="9" t="inlineStr">
        <is>
          <t>01</t>
        </is>
      </c>
      <c r="B29" s="9" t="inlineStr">
        <is>
          <t>高輪ザ・レジデンス</t>
        </is>
      </c>
      <c r="C29" s="9" t="inlineStr">
        <is>
          <t>44階</t>
        </is>
      </c>
      <c r="D29" s="9" t="inlineStr">
        <is>
          <t>数値（図面値で入力）</t>
        </is>
      </c>
      <c r="E29" s="9" t="inlineStr">
        <is>
          <t>【数値・図面値で入力】高輪台7分・白金高輪9分：この住戸の元付図面（A-p04〜A-p06）の値。泉岳寺・品川はこの住戸の図面に記載がないため入力していない。</t>
        </is>
      </c>
    </row>
    <row r="30">
      <c r="A30" s="9" t="inlineStr">
        <is>
          <t>01</t>
        </is>
      </c>
      <c r="B30" s="9" t="inlineStr">
        <is>
          <t>高輪ザ・レジデンス</t>
        </is>
      </c>
      <c r="C30" s="9" t="inlineStr">
        <is>
          <t>44階</t>
        </is>
      </c>
      <c r="D30" s="9" t="inlineStr">
        <is>
          <t>数値（図面値で入力）</t>
        </is>
      </c>
      <c r="E30" s="9" t="inlineStr">
        <is>
          <t>【数値・図面値で入力】駐車場：この住戸のA-p06は「確認中」。同建物A-p02の「有・月額35,000〜65,000円」で入力。空き状況は管理会社に確認。掲載文は「空き状況はお問い合わせください」とした。</t>
        </is>
      </c>
    </row>
    <row r="31">
      <c r="A31" s="9" t="inlineStr">
        <is>
          <t>01</t>
        </is>
      </c>
      <c r="B31" s="9" t="inlineStr">
        <is>
          <t>高輪ザ・レジデンス</t>
        </is>
      </c>
      <c r="C31" s="9" t="inlineStr">
        <is>
          <t>44階</t>
        </is>
      </c>
      <c r="D31" s="9" t="inlineStr">
        <is>
          <t>数値（図面値で入力）</t>
        </is>
      </c>
      <c r="E31" s="9" t="inlineStr">
        <is>
          <t>【数値・図面値で入力】敷地共有持分：26,194／4,808,035（A-p06）で入力（他の値：20,879／4,808,035＝A-p05）。登記簿で最終確認。</t>
        </is>
      </c>
    </row>
    <row r="32">
      <c r="A32" s="9" t="inlineStr">
        <is>
          <t>01</t>
        </is>
      </c>
      <c r="B32" s="9" t="inlineStr">
        <is>
          <t>高輪ザ・レジデンス</t>
        </is>
      </c>
      <c r="C32" s="9" t="inlineStr">
        <is>
          <t>44階</t>
        </is>
      </c>
      <c r="D32" s="9" t="inlineStr">
        <is>
          <t>数値（図面値で入力）</t>
        </is>
      </c>
      <c r="E32" s="9" t="inlineStr">
        <is>
          <t>【数値・図面値で入力】総戸数：574戸（全図面）で入力（他の値：575戸＝東京建物ライブラリー）。</t>
        </is>
      </c>
    </row>
    <row r="33">
      <c r="A33" s="9" t="inlineStr">
        <is>
          <t>01</t>
        </is>
      </c>
      <c r="B33" s="9" t="inlineStr">
        <is>
          <t>高輪ザ・レジデンス</t>
        </is>
      </c>
      <c r="C33" s="9" t="inlineStr">
        <is>
          <t>44階</t>
        </is>
      </c>
      <c r="D33" s="9" t="inlineStr">
        <is>
          <t>数値（図面値で入力）</t>
        </is>
      </c>
      <c r="E33" s="9" t="inlineStr">
        <is>
          <t>【数値・図面値で入力】LD約39.8帖・和室約8帖・洋室約9.2帖は元付HP（ノムコム）の値（図面に帖数の記載なし）。</t>
        </is>
      </c>
    </row>
    <row r="34">
      <c r="A34" s="9" t="inlineStr">
        <is>
          <t>01</t>
        </is>
      </c>
      <c r="B34" s="9" t="inlineStr">
        <is>
          <t>高輪ザ・レジデンス</t>
        </is>
      </c>
      <c r="C34" s="9" t="inlineStr">
        <is>
          <t>44階</t>
        </is>
      </c>
      <c r="D34" s="9" t="inlineStr">
        <is>
          <t>文言</t>
        </is>
      </c>
      <c r="E34" s="9" t="inlineStr">
        <is>
          <t>【文言】間取り表記：2LDK＋5S＋2WIC＋SIC（A-p05）／3LDK＋4S＋2WIC＋SIC（A-p04）／3LDK＋S（A-p06）。安全側のA-p05を入れた。</t>
        </is>
      </c>
    </row>
    <row r="35">
      <c r="A35" s="9" t="inlineStr">
        <is>
          <t>01</t>
        </is>
      </c>
      <c r="B35" s="9" t="inlineStr">
        <is>
          <t>高輪ザ・レジデンス</t>
        </is>
      </c>
      <c r="C35" s="9" t="inlineStr">
        <is>
          <t>44階</t>
        </is>
      </c>
      <c r="D35" s="9" t="inlineStr">
        <is>
          <t>文言</t>
        </is>
      </c>
      <c r="E35" s="9" t="inlineStr">
        <is>
          <t>【文言】間取図：リバブル版（44階/間取図/02_間取図_リバブル版.jpg）は西端の室を「Bedroom1」と表記し採用間取りと食い違うため、images に入れていない。掲載は野村版のみ。</t>
        </is>
      </c>
    </row>
    <row r="36">
      <c r="A36" s="9" t="inlineStr">
        <is>
          <t>01</t>
        </is>
      </c>
      <c r="B36" s="9" t="inlineStr">
        <is>
          <t>高輪ザ・レジデンス</t>
        </is>
      </c>
      <c r="C36" s="9" t="inlineStr">
        <is>
          <t>44階</t>
        </is>
      </c>
      <c r="D36" s="9" t="inlineStr">
        <is>
          <t>文言</t>
        </is>
      </c>
      <c r="E36" s="9" t="inlineStr">
        <is>
          <t>【文言】リフォーム履歴：図面・HPに記載なし。空欄のまま。</t>
        </is>
      </c>
    </row>
    <row r="37">
      <c r="A37" s="9" t="inlineStr">
        <is>
          <t>01</t>
        </is>
      </c>
      <c r="B37" s="9" t="inlineStr">
        <is>
          <t>高輪ザ・レジデンス</t>
        </is>
      </c>
      <c r="C37" s="9" t="inlineStr">
        <is>
          <t>44階</t>
        </is>
      </c>
      <c r="D37" s="9" t="inlineStr">
        <is>
          <t>文言</t>
        </is>
      </c>
      <c r="E37" s="9" t="inlineStr">
        <is>
          <t>【文言】角部屋の表記は図面・HPに根拠なし。角住戸・最上階系の表示は付けていない。</t>
        </is>
      </c>
    </row>
    <row r="38">
      <c r="A38" s="9" t="inlineStr">
        <is>
          <t>01</t>
        </is>
      </c>
      <c r="B38" s="9" t="inlineStr">
        <is>
          <t>高輪ザ・レジデンス</t>
        </is>
      </c>
      <c r="C38" s="9" t="inlineStr">
        <is>
          <t>44階</t>
        </is>
      </c>
      <c r="D38" s="9" t="inlineStr">
        <is>
          <t>文言</t>
        </is>
      </c>
      <c r="E38" s="9" t="inlineStr">
        <is>
          <t>【文言】用途地域：商業・第一種住居・近隣商業（A-p04、港区用途地域図）。面積按分は重説で確認。</t>
        </is>
      </c>
    </row>
    <row r="39">
      <c r="A39" s="9" t="inlineStr">
        <is>
          <t>01</t>
        </is>
      </c>
      <c r="B39" s="9" t="inlineStr">
        <is>
          <t>高輪ザ・レジデンス</t>
        </is>
      </c>
      <c r="C39" s="9" t="inlineStr">
        <is>
          <t>44階</t>
        </is>
      </c>
      <c r="D39" s="9" t="inlineStr">
        <is>
          <t>文言</t>
        </is>
      </c>
      <c r="E39" s="9" t="inlineStr">
        <is>
          <t>【文言】管理員の勤務形態：日勤（A-p05・A-p06）で入力。24時間有人管理は複数図面で一致。</t>
        </is>
      </c>
    </row>
    <row r="40">
      <c r="A40" s="9" t="inlineStr">
        <is>
          <t>01</t>
        </is>
      </c>
      <c r="B40" s="9" t="inlineStr">
        <is>
          <t>高輪ザ・レジデンス</t>
        </is>
      </c>
      <c r="C40" s="9" t="inlineStr">
        <is>
          <t>44階</t>
        </is>
      </c>
      <c r="D40" s="9" t="inlineStr">
        <is>
          <t>文言</t>
        </is>
      </c>
      <c r="E40" s="9" t="inlineStr">
        <is>
          <t>【文言】鍵：東急リバブルGRANTACT六本木（立会可、A-p06）。掲載文には「内見は立会」とだけ書いた。</t>
        </is>
      </c>
    </row>
    <row r="41">
      <c r="A41" s="9" t="inlineStr">
        <is>
          <t>01</t>
        </is>
      </c>
      <c r="B41" s="9" t="inlineStr">
        <is>
          <t>高輪ザ・レジデンス</t>
        </is>
      </c>
      <c r="C41" s="9" t="inlineStr">
        <is>
          <t>44階</t>
        </is>
      </c>
      <c r="D41" s="9" t="inlineStr">
        <is>
          <t>文言</t>
        </is>
      </c>
      <c r="E41" s="9" t="inlineStr">
        <is>
          <t>【文言】写真の転載範囲：この住戸の元付（野村不動産ソリューションズ・東急リバブル。J・P・EはHP写真なし）のHP由来だけを images に入れた。同じ建物の46-47階の元付（ケン・コーポレーション、リスト サザビーズ）HP由来の共用部写真9枚は images_pending_permission に移した（note に記載）。</t>
        </is>
      </c>
    </row>
    <row r="42">
      <c r="A42" s="9" t="inlineStr">
        <is>
          <t>01</t>
        </is>
      </c>
      <c r="B42" s="9" t="inlineStr">
        <is>
          <t>高輪ザ・レジデンス</t>
        </is>
      </c>
      <c r="C42" s="9" t="inlineStr">
        <is>
          <t>44階</t>
        </is>
      </c>
      <c r="D42" s="9" t="inlineStr">
        <is>
          <t>文言</t>
        </is>
      </c>
      <c r="E42" s="9" t="inlineStr">
        <is>
          <t>【文言】透かし：東急リバブル由来の写真（GRANTACTのロゴ）に透かしあり。該当画像に "watermark": true を付けた。元付から透かしなしの原本を入手できれば差し替え。</t>
        </is>
      </c>
    </row>
    <row r="43">
      <c r="A43" s="9" t="inlineStr">
        <is>
          <t>01</t>
        </is>
      </c>
      <c r="B43" s="9" t="inlineStr">
        <is>
          <t>高輪ザ・レジデンス</t>
        </is>
      </c>
      <c r="C43" s="9" t="inlineStr">
        <is>
          <t>44階</t>
        </is>
      </c>
      <c r="D43" s="9" t="inlineStr">
        <is>
          <t>推測入力</t>
        </is>
      </c>
      <c r="E43" s="9" t="inlineStr">
        <is>
          <t>洋室5枚（16〜20）がどの居室（Bedroom・サービスルーム等）に当たるかは特定できないため、すべて「洋室(21)」とした。</t>
        </is>
      </c>
    </row>
    <row r="44">
      <c r="A44" s="9" t="inlineStr">
        <is>
          <t>01</t>
        </is>
      </c>
      <c r="B44" s="9" t="inlineStr">
        <is>
          <t>高輪ザ・レジデンス</t>
        </is>
      </c>
      <c r="C44" s="9" t="inlineStr">
        <is>
          <t>44階</t>
        </is>
      </c>
      <c r="D44" s="9" t="inlineStr">
        <is>
          <t>推測入力</t>
        </is>
      </c>
      <c r="E44" s="9" t="inlineStr">
        <is>
          <t>設備チェック「システムキッチン」「全面フローリング」は写真からの判断。</t>
        </is>
      </c>
    </row>
    <row r="45">
      <c r="A45" s="9" t="inlineStr">
        <is>
          <t>01</t>
        </is>
      </c>
      <c r="B45" s="9" t="inlineStr">
        <is>
          <t>高輪ザ・レジデンス</t>
        </is>
      </c>
      <c r="C45" s="9" t="inlineStr">
        <is>
          <t>44階</t>
        </is>
      </c>
      <c r="D45" s="9" t="inlineStr">
        <is>
          <t>推測入力</t>
        </is>
      </c>
      <c r="E45" s="9" t="inlineStr">
        <is>
          <t>玄関2か所を「来客とご家族の動線を分けられる」「二世帯にも対応しやすい」とした表現は推測（図面に明記なし）。</t>
        </is>
      </c>
    </row>
    <row r="46">
      <c r="A46" s="9" t="inlineStr">
        <is>
          <t>01</t>
        </is>
      </c>
      <c r="B46" s="9" t="inlineStr">
        <is>
          <t>高輪ザ・レジデンス</t>
        </is>
      </c>
      <c r="C46" s="9" t="inlineStr">
        <is>
          <t>44階</t>
        </is>
      </c>
      <c r="D46" s="9" t="inlineStr">
        <is>
          <t>推測入力</t>
        </is>
      </c>
      <c r="E46" s="9" t="inlineStr">
        <is>
          <t>画像カテゴリ：勝手口は「玄関(7)」、グランドホールは「ロビー(44)」、サロン・ラウンジ・廊下・階段・アプローチは「その他共用部分(19)」。</t>
        </is>
      </c>
    </row>
    <row r="47">
      <c r="A47" s="9" t="inlineStr">
        <is>
          <t>01</t>
        </is>
      </c>
      <c r="B47" s="9" t="inlineStr">
        <is>
          <t>高輪ザ・レジデンス</t>
        </is>
      </c>
      <c r="C47" s="9" t="inlineStr">
        <is>
          <t>44階</t>
        </is>
      </c>
      <c r="D47" s="9" t="inlineStr">
        <is>
          <t>推測入力</t>
        </is>
      </c>
      <c r="E47" s="9" t="inlineStr">
        <is>
          <t>LDの写真が7枚あるため、眺望が入る写真（09）を先頭にした。</t>
        </is>
      </c>
    </row>
    <row r="48">
      <c r="A48" s="9" t="inlineStr">
        <is>
          <t>01</t>
        </is>
      </c>
      <c r="B48" s="9" t="inlineStr">
        <is>
          <t>高輪ザ・レジデンス</t>
        </is>
      </c>
      <c r="C48" s="9" t="inlineStr">
        <is>
          <t>44階</t>
        </is>
      </c>
      <c r="D48" s="9" t="inlineStr">
        <is>
          <t>推測入力</t>
        </is>
      </c>
      <c r="E48" s="9" t="inlineStr">
        <is>
          <t>コメントの表現（暮らしのイメージ部分）は写真と図面からの推測を含む。</t>
        </is>
      </c>
    </row>
    <row r="49">
      <c r="A49" s="9" t="inlineStr">
        <is>
          <t>01</t>
        </is>
      </c>
      <c r="B49" s="9" t="inlineStr">
        <is>
          <t>高輪ザ・レジデンス</t>
        </is>
      </c>
      <c r="C49" s="9" t="inlineStr">
        <is>
          <t>46-47階</t>
        </is>
      </c>
      <c r="D49" s="9" t="inlineStr">
        <is>
          <t>数値（図面値で入力）</t>
        </is>
      </c>
      <c r="E49" s="9" t="inlineStr">
        <is>
          <t>【数値・図面値で入力】交通：この住戸の元付図面2枚のうちA-p01（ケン）を優先。高輪台7分（A-p01）／6分（A-p02）、白金台10分（A-p01・南北線）／8分（A-p02）、高輪ゲートウェイ16分（A-p01）／14分（A-p02）。</t>
        </is>
      </c>
    </row>
    <row r="50">
      <c r="A50" s="9" t="inlineStr">
        <is>
          <t>01</t>
        </is>
      </c>
      <c r="B50" s="9" t="inlineStr">
        <is>
          <t>高輪ザ・レジデンス</t>
        </is>
      </c>
      <c r="C50" s="9" t="inlineStr">
        <is>
          <t>46-47階</t>
        </is>
      </c>
      <c r="D50" s="9" t="inlineStr">
        <is>
          <t>数値（図面値で入力）</t>
        </is>
      </c>
      <c r="E50" s="9" t="inlineStr">
        <is>
          <t>【数値・図面値で入力】泉岳寺：図面値で入力（他の値：12分＝東京建物ライブラリー）。A-p01の15分。</t>
        </is>
      </c>
    </row>
    <row r="51">
      <c r="A51" s="9" t="inlineStr">
        <is>
          <t>01</t>
        </is>
      </c>
      <c r="B51" s="9" t="inlineStr">
        <is>
          <t>高輪ザ・レジデンス</t>
        </is>
      </c>
      <c r="C51" s="9" t="inlineStr">
        <is>
          <t>46-47階</t>
        </is>
      </c>
      <c r="D51" s="9" t="inlineStr">
        <is>
          <t>数値（図面値で入力）</t>
        </is>
      </c>
      <c r="E51" s="9" t="inlineStr">
        <is>
          <t>【数値・図面値で入力】品川：この住戸の図面に記載がないため、同建物A-p08の15分で入力（他の値：16分＝東京建物ライブラリー）。白金高輪9分も同建物A-p05・A-p06・A-p08の値。</t>
        </is>
      </c>
    </row>
    <row r="52">
      <c r="A52" s="9" t="inlineStr">
        <is>
          <t>01</t>
        </is>
      </c>
      <c r="B52" s="9" t="inlineStr">
        <is>
          <t>高輪ザ・レジデンス</t>
        </is>
      </c>
      <c r="C52" s="9" t="inlineStr">
        <is>
          <t>46-47階</t>
        </is>
      </c>
      <c r="D52" s="9" t="inlineStr">
        <is>
          <t>数値（図面値で入力）</t>
        </is>
      </c>
      <c r="E52" s="9" t="inlineStr">
        <is>
          <t>【数値・図面値で入力】月額合計：211,127円（A-p01の管理費等＋A-p02の特定階負担金6,732円の合計）で入力（他の値：204,395円＝A-p01記載の合計。特定階負担金を含まない）。</t>
        </is>
      </c>
    </row>
    <row r="53">
      <c r="A53" s="9" t="inlineStr">
        <is>
          <t>01</t>
        </is>
      </c>
      <c r="B53" s="9" t="inlineStr">
        <is>
          <t>高輪ザ・レジデンス</t>
        </is>
      </c>
      <c r="C53" s="9" t="inlineStr">
        <is>
          <t>46-47階</t>
        </is>
      </c>
      <c r="D53" s="9" t="inlineStr">
        <is>
          <t>数値（図面値で入力）</t>
        </is>
      </c>
      <c r="E53" s="9" t="inlineStr">
        <is>
          <t>【数値・図面値で入力】駐車場：有・月額35,000〜65,000円（A-p02）で入力（他の値：「空無」＝A-p01）。空き状況は管理会社に確認。掲載文は「空き状況はお問い合わせください」とした。</t>
        </is>
      </c>
    </row>
    <row r="54">
      <c r="A54" s="9" t="inlineStr">
        <is>
          <t>01</t>
        </is>
      </c>
      <c r="B54" s="9" t="inlineStr">
        <is>
          <t>高輪ザ・レジデンス</t>
        </is>
      </c>
      <c r="C54" s="9" t="inlineStr">
        <is>
          <t>46-47階</t>
        </is>
      </c>
      <c r="D54" s="9" t="inlineStr">
        <is>
          <t>数値（図面値で入力）</t>
        </is>
      </c>
      <c r="E54" s="9" t="inlineStr">
        <is>
          <t>【数値・図面値で入力】総戸数：574戸（全図面）で入力（他の値：575戸＝東京建物ライブラリー）。</t>
        </is>
      </c>
    </row>
    <row r="55">
      <c r="A55" s="9" t="inlineStr">
        <is>
          <t>01</t>
        </is>
      </c>
      <c r="B55" s="9" t="inlineStr">
        <is>
          <t>高輪ザ・レジデンス</t>
        </is>
      </c>
      <c r="C55" s="9" t="inlineStr">
        <is>
          <t>46-47階</t>
        </is>
      </c>
      <c r="D55" s="9" t="inlineStr">
        <is>
          <t>文言</t>
        </is>
      </c>
      <c r="E55" s="9" t="inlineStr">
        <is>
          <t>【文言】向き：南（A-p02「南向き角住戸」）／南・西・東向き（A-p01）／南東（ケンHP）。「南」を入れ、コメントは「南向き角住戸」「南・西・東に開口」とした。</t>
        </is>
      </c>
    </row>
    <row r="56">
      <c r="A56" s="9" t="inlineStr">
        <is>
          <t>01</t>
        </is>
      </c>
      <c r="B56" s="9" t="inlineStr">
        <is>
          <t>高輪ザ・レジデンス</t>
        </is>
      </c>
      <c r="C56" s="9" t="inlineStr">
        <is>
          <t>46-47階</t>
        </is>
      </c>
      <c r="D56" s="9" t="inlineStr">
        <is>
          <t>文言</t>
        </is>
      </c>
      <c r="E56" s="9" t="inlineStr">
        <is>
          <t>【文言】間取り表記：1LDK＋S（A-p01）／1LDK＋Gym＋Sauna（A-p02）。A-p01の表記を入れた。</t>
        </is>
      </c>
    </row>
    <row r="57">
      <c r="A57" s="9" t="inlineStr">
        <is>
          <t>01</t>
        </is>
      </c>
      <c r="B57" s="9" t="inlineStr">
        <is>
          <t>高輪ザ・レジデンス</t>
        </is>
      </c>
      <c r="C57" s="9" t="inlineStr">
        <is>
          <t>46-47階</t>
        </is>
      </c>
      <c r="D57" s="9" t="inlineStr">
        <is>
          <t>文言</t>
        </is>
      </c>
      <c r="E57" s="9" t="inlineStr">
        <is>
          <t>【文言】リフォーム表記：2024年1月完成・キッチン等交換（A-p01）／「新築基準のフルリノベーション済」（A-p02）。掲載文は2024年1月の交換内容に留め、「フルリノベーション」とは書いていない。</t>
        </is>
      </c>
    </row>
    <row r="58">
      <c r="A58" s="9" t="inlineStr">
        <is>
          <t>01</t>
        </is>
      </c>
      <c r="B58" s="9" t="inlineStr">
        <is>
          <t>高輪ザ・レジデンス</t>
        </is>
      </c>
      <c r="C58" s="9" t="inlineStr">
        <is>
          <t>46-47階</t>
        </is>
      </c>
      <c r="D58" s="9" t="inlineStr">
        <is>
          <t>文言</t>
        </is>
      </c>
      <c r="E58" s="9" t="inlineStr">
        <is>
          <t>【文言】A-p02（サザビーズ）の図面に「広告掲載等は一切お断り」の表記。依頼者は承諾取得済との指示。</t>
        </is>
      </c>
    </row>
    <row r="59">
      <c r="A59" s="9" t="inlineStr">
        <is>
          <t>01</t>
        </is>
      </c>
      <c r="B59" s="9" t="inlineStr">
        <is>
          <t>高輪ザ・レジデンス</t>
        </is>
      </c>
      <c r="C59" s="9" t="inlineStr">
        <is>
          <t>46-47階</t>
        </is>
      </c>
      <c r="D59" s="9" t="inlineStr">
        <is>
          <t>文言</t>
        </is>
      </c>
      <c r="E59" s="9" t="inlineStr">
        <is>
          <t>【文言】用途地域：商業・第一種住居・近隣商業（A-p04、港区用途地域図）／第一種住居・商業（A-p01）ほか。3種で入力。面積按分は重説で確認。</t>
        </is>
      </c>
    </row>
    <row r="60">
      <c r="A60" s="9" t="inlineStr">
        <is>
          <t>01</t>
        </is>
      </c>
      <c r="B60" s="9" t="inlineStr">
        <is>
          <t>高輪ザ・レジデンス</t>
        </is>
      </c>
      <c r="C60" s="9" t="inlineStr">
        <is>
          <t>46-47階</t>
        </is>
      </c>
      <c r="D60" s="9" t="inlineStr">
        <is>
          <t>文言</t>
        </is>
      </c>
      <c r="E60" s="9" t="inlineStr">
        <is>
          <t>【文言】管理員の勤務形態：常勤（A-p01）／常駐（A-p02）。A-p01の「常勤」を入れた。24時間有人管理は複数図面で一致。</t>
        </is>
      </c>
    </row>
    <row r="61">
      <c r="A61" s="9" t="inlineStr">
        <is>
          <t>01</t>
        </is>
      </c>
      <c r="B61" s="9" t="inlineStr">
        <is>
          <t>高輪ザ・レジデンス</t>
        </is>
      </c>
      <c r="C61" s="9" t="inlineStr">
        <is>
          <t>46-47階</t>
        </is>
      </c>
      <c r="D61" s="9" t="inlineStr">
        <is>
          <t>文言</t>
        </is>
      </c>
      <c r="E61" s="9" t="inlineStr">
        <is>
          <t>【文言】トランクルーム：空無（A-p01）。掲載文には入れていない。</t>
        </is>
      </c>
    </row>
    <row r="62">
      <c r="A62" s="9" t="inlineStr">
        <is>
          <t>01</t>
        </is>
      </c>
      <c r="B62" s="9" t="inlineStr">
        <is>
          <t>高輪ザ・レジデンス</t>
        </is>
      </c>
      <c r="C62" s="9" t="inlineStr">
        <is>
          <t>46-47階</t>
        </is>
      </c>
      <c r="D62" s="9" t="inlineStr">
        <is>
          <t>文言</t>
        </is>
      </c>
      <c r="E62" s="9" t="inlineStr">
        <is>
          <t>【文言】制震構造：A-p06「大規模制震タワーレジデンス」・ケンHP。掲載文に使用。</t>
        </is>
      </c>
    </row>
    <row r="63">
      <c r="A63" s="9" t="inlineStr">
        <is>
          <t>01</t>
        </is>
      </c>
      <c r="B63" s="9" t="inlineStr">
        <is>
          <t>高輪ザ・レジデンス</t>
        </is>
      </c>
      <c r="C63" s="9" t="inlineStr">
        <is>
          <t>46-47階</t>
        </is>
      </c>
      <c r="D63" s="9" t="inlineStr">
        <is>
          <t>文言</t>
        </is>
      </c>
      <c r="E63" s="9" t="inlineStr">
        <is>
          <t>【文言】中学校区（港区立高松中学校）はポータル情報のみ。Yahoo!その他概要にのみ記載。</t>
        </is>
      </c>
    </row>
    <row r="64">
      <c r="A64" s="9" t="inlineStr">
        <is>
          <t>01</t>
        </is>
      </c>
      <c r="B64" s="9" t="inlineStr">
        <is>
          <t>高輪ザ・レジデンス</t>
        </is>
      </c>
      <c r="C64" s="9" t="inlineStr">
        <is>
          <t>46-47階</t>
        </is>
      </c>
      <c r="D64" s="9" t="inlineStr">
        <is>
          <t>文言</t>
        </is>
      </c>
      <c r="E64" s="9" t="inlineStr">
        <is>
          <t>【文言】写真の転載範囲：この住戸の元付（ケン・コーポレーション、リスト サザビーズ）のHP由来と販売図面由来だけを images に入れた。同じ建物の44階の元付（野村不動産ソリューションズ・東急リバブル）HP由来の共用部写真15枚は images_pending_permission に移した（note に記載）。</t>
        </is>
      </c>
    </row>
    <row r="65">
      <c r="A65" s="9" t="inlineStr">
        <is>
          <t>01</t>
        </is>
      </c>
      <c r="B65" s="9" t="inlineStr">
        <is>
          <t>高輪ザ・レジデンス</t>
        </is>
      </c>
      <c r="C65" s="9" t="inlineStr">
        <is>
          <t>46-47階</t>
        </is>
      </c>
      <c r="D65" s="9" t="inlineStr">
        <is>
          <t>文言</t>
        </is>
      </c>
      <c r="E65" s="9" t="inlineStr">
        <is>
          <t>【文言】透かし：サザビーズ由来の全カット（間取図含む）とケン由来の一部にロゴの透かしあり。該当画像に "watermark": true を付けた。元付から透かしなしの原本を入手できれば差し替え。</t>
        </is>
      </c>
    </row>
    <row r="66">
      <c r="A66" s="9" t="inlineStr">
        <is>
          <t>01</t>
        </is>
      </c>
      <c r="B66" s="9" t="inlineStr">
        <is>
          <t>高輪ザ・レジデンス</t>
        </is>
      </c>
      <c r="C66" s="9" t="inlineStr">
        <is>
          <t>46-47階</t>
        </is>
      </c>
      <c r="D66" s="9" t="inlineStr">
        <is>
          <t>推測入力</t>
        </is>
      </c>
      <c r="E66" s="9" t="inlineStr">
        <is>
          <t>設備チェック「トイレ2ヶ所」：A-p01平面図のPowder Room（上下階各1）から判断。</t>
        </is>
      </c>
    </row>
    <row r="67">
      <c r="A67" s="9" t="inlineStr">
        <is>
          <t>01</t>
        </is>
      </c>
      <c r="B67" s="9" t="inlineStr">
        <is>
          <t>高輪ザ・レジデンス</t>
        </is>
      </c>
      <c r="C67" s="9" t="inlineStr">
        <is>
          <t>46-47階</t>
        </is>
      </c>
      <c r="D67" s="9" t="inlineStr">
        <is>
          <t>推測入力</t>
        </is>
      </c>
      <c r="E67" s="9" t="inlineStr">
        <is>
          <t>画像カテゴリ：バー・ワインセラー・サウナは「その他内観(38)」、ジム・サービスルームは「その他居室(37)」、シャワールームは「バス(6)」を選択（該当カテゴリがないため）。</t>
        </is>
      </c>
    </row>
    <row r="68">
      <c r="A68" s="9" t="inlineStr">
        <is>
          <t>01</t>
        </is>
      </c>
      <c r="B68" s="9" t="inlineStr">
        <is>
          <t>高輪ザ・レジデンス</t>
        </is>
      </c>
      <c r="C68" s="9" t="inlineStr">
        <is>
          <t>46-47階</t>
        </is>
      </c>
      <c r="D68" s="9" t="inlineStr">
        <is>
          <t>推測入力</t>
        </is>
      </c>
      <c r="E68" s="9" t="inlineStr">
        <is>
          <t>画像カテゴリ：フロントは「ロビー(44)」、館銘板は「エントランス(16)」、ラウンジ・廊下・中庭・エレベーターホールは「その他共用部分(19)」、2枚目以降の外観は「外観(2)」（通常スロットで2が選べない場合は「その他(15)」）。</t>
        </is>
      </c>
    </row>
    <row r="69">
      <c r="A69" s="9" t="inlineStr">
        <is>
          <t>01</t>
        </is>
      </c>
      <c r="B69" s="9" t="inlineStr">
        <is>
          <t>高輪ザ・レジデンス</t>
        </is>
      </c>
      <c r="C69" s="9" t="inlineStr">
        <is>
          <t>46-47階</t>
        </is>
      </c>
      <c r="D69" s="9" t="inlineStr">
        <is>
          <t>推測入力</t>
        </is>
      </c>
      <c r="E69" s="9" t="inlineStr">
        <is>
          <t>1枚目（物件の顔）は透かしのない外観（共用部/04_外観4・ケン）にした。</t>
        </is>
      </c>
    </row>
    <row r="70">
      <c r="A70" s="9" t="inlineStr">
        <is>
          <t>01</t>
        </is>
      </c>
      <c r="B70" s="9" t="inlineStr">
        <is>
          <t>高輪ザ・レジデンス</t>
        </is>
      </c>
      <c r="C70" s="9" t="inlineStr">
        <is>
          <t>46-47階</t>
        </is>
      </c>
      <c r="D70" s="9" t="inlineStr">
        <is>
          <t>推測入力</t>
        </is>
      </c>
      <c r="E70" s="9" t="inlineStr">
        <is>
          <t>コメントの表現（暮らしのイメージ部分）は写真と図面からの推測を含む。眺望写真の方向（寺院・学校の緑など）は写真からの判断。</t>
        </is>
      </c>
    </row>
    <row r="71">
      <c r="A71" s="9" t="inlineStr">
        <is>
          <t>01</t>
        </is>
      </c>
      <c r="B71" s="9" t="inlineStr">
        <is>
          <t>高輪ザ・レジデンス</t>
        </is>
      </c>
      <c r="C71" s="9" t="inlineStr">
        <is>
          <t>46-47階</t>
        </is>
      </c>
      <c r="D71" s="9" t="inlineStr">
        <is>
          <t>推測入力</t>
        </is>
      </c>
      <c r="E71" s="9" t="inlineStr">
        <is>
          <t>写真の家具・テレビは撮影時のもの（家具相談の対象かは元付に確認）。</t>
        </is>
      </c>
    </row>
    <row r="72">
      <c r="A72" s="9" t="inlineStr">
        <is>
          <t>02</t>
        </is>
      </c>
      <c r="B72" s="9" t="inlineStr">
        <is>
          <t>アクシア青山</t>
        </is>
      </c>
      <c r="C72" s="9" t="inlineStr">
        <is>
          <t>20階</t>
        </is>
      </c>
      <c r="D72" s="9" t="inlineStr">
        <is>
          <t>数値（図面値で入力）</t>
        </is>
      </c>
      <c r="E72" s="9" t="inlineStr">
        <is>
          <t>【数値・図面値で入力】価格の税区分：A-p03に税込／非課税の記載なし。元付に確認して入力。</t>
        </is>
      </c>
    </row>
    <row r="73">
      <c r="A73" s="9" t="inlineStr">
        <is>
          <t>02</t>
        </is>
      </c>
      <c r="B73" s="9" t="inlineStr">
        <is>
          <t>アクシア青山</t>
        </is>
      </c>
      <c r="C73" s="9" t="inlineStr">
        <is>
          <t>20階</t>
        </is>
      </c>
      <c r="D73" s="9" t="inlineStr">
        <is>
          <t>数値（図面値で入力）</t>
        </is>
      </c>
      <c r="E73" s="9" t="inlineStr">
        <is>
          <t>【数値・図面値で入力】地上階数：地上20階・地下1階（A-p03・元付HP・SUUMO）で入力（他の値：地上21階・地下1階＝設計者UG・リバブル等）。21階部分の用途が不明のため「最上階」は付けず、A-p03の表記「上階に住居なし」で表現した。</t>
        </is>
      </c>
    </row>
    <row r="74">
      <c r="A74" s="9" t="inlineStr">
        <is>
          <t>02</t>
        </is>
      </c>
      <c r="B74" s="9" t="inlineStr">
        <is>
          <t>アクシア青山</t>
        </is>
      </c>
      <c r="C74" s="9" t="inlineStr">
        <is>
          <t>20階</t>
        </is>
      </c>
      <c r="D74" s="9" t="inlineStr">
        <is>
          <t>数値（図面値で入力）</t>
        </is>
      </c>
      <c r="E74" s="9" t="inlineStr">
        <is>
          <t>【数値・図面値で入力】竣工年月：2002年5月（A-p03）で入力（他の値：2002年6月＝元付ライブラリ・リバブル等）。</t>
        </is>
      </c>
    </row>
    <row r="75">
      <c r="A75" s="9" t="inlineStr">
        <is>
          <t>02</t>
        </is>
      </c>
      <c r="B75" s="9" t="inlineStr">
        <is>
          <t>アクシア青山</t>
        </is>
      </c>
      <c r="C75" s="9" t="inlineStr">
        <is>
          <t>20階</t>
        </is>
      </c>
      <c r="D75" s="9" t="inlineStr">
        <is>
          <t>数値（図面値で入力）</t>
        </is>
      </c>
      <c r="E75" s="9" t="inlineStr">
        <is>
          <t>【数値・図面値で入力】総戸数：103戸（A-p03）で入力（他の値：住戸数100戸＝設計者UG）。</t>
        </is>
      </c>
    </row>
    <row r="76">
      <c r="A76" s="9" t="inlineStr">
        <is>
          <t>02</t>
        </is>
      </c>
      <c r="B76" s="9" t="inlineStr">
        <is>
          <t>アクシア青山</t>
        </is>
      </c>
      <c r="C76" s="9" t="inlineStr">
        <is>
          <t>20階</t>
        </is>
      </c>
      <c r="D76" s="9" t="inlineStr">
        <is>
          <t>数値（図面値で入力）</t>
        </is>
      </c>
      <c r="E76" s="9" t="inlineStr">
        <is>
          <t>【数値・図面値で入力】駅徒歩：青山一丁目4分・乃木坂7分・外苑前11分（A-p03）で入力（他の値：青山一丁目2分・乃木坂5〜6分・外苑前12分＝ケン等）。</t>
        </is>
      </c>
    </row>
    <row r="77">
      <c r="A77" s="9" t="inlineStr">
        <is>
          <t>02</t>
        </is>
      </c>
      <c r="B77" s="9" t="inlineStr">
        <is>
          <t>アクシア青山</t>
        </is>
      </c>
      <c r="C77" s="9" t="inlineStr">
        <is>
          <t>20階</t>
        </is>
      </c>
      <c r="D77" s="9" t="inlineStr">
        <is>
          <t>数値（図面値で入力）</t>
        </is>
      </c>
      <c r="E77" s="9" t="inlineStr">
        <is>
          <t>【数値・図面値で入力】トイレ数：3か所（A-p03 Sales Point・間取図）で入力（他の値：2か所＝元付HP設備欄・SUUMO）。</t>
        </is>
      </c>
    </row>
    <row r="78">
      <c r="A78" s="9" t="inlineStr">
        <is>
          <t>02</t>
        </is>
      </c>
      <c r="B78" s="9" t="inlineStr">
        <is>
          <t>アクシア青山</t>
        </is>
      </c>
      <c r="C78" s="9" t="inlineStr">
        <is>
          <t>20階</t>
        </is>
      </c>
      <c r="D78" s="9" t="inlineStr">
        <is>
          <t>文言</t>
        </is>
      </c>
      <c r="E78" s="9" t="inlineStr">
        <is>
          <t>【文言】所在地の住居表示／地番の別：A-p03に記載なし。</t>
        </is>
      </c>
    </row>
    <row r="79">
      <c r="A79" s="9" t="inlineStr">
        <is>
          <t>02</t>
        </is>
      </c>
      <c r="B79" s="9" t="inlineStr">
        <is>
          <t>アクシア青山</t>
        </is>
      </c>
      <c r="C79" s="9" t="inlineStr">
        <is>
          <t>20階</t>
        </is>
      </c>
      <c r="D79" s="9" t="inlineStr">
        <is>
          <t>文言</t>
        </is>
      </c>
      <c r="E79" s="9" t="inlineStr">
        <is>
          <t>【文言】向き：西（元付HP・SUUMO）／4面採光（A-p03）。「西」を入れた。掲載文は「4面採光」で表現。</t>
        </is>
      </c>
    </row>
    <row r="80">
      <c r="A80" s="9" t="inlineStr">
        <is>
          <t>02</t>
        </is>
      </c>
      <c r="B80" s="9" t="inlineStr">
        <is>
          <t>アクシア青山</t>
        </is>
      </c>
      <c r="C80" s="9" t="inlineStr">
        <is>
          <t>20階</t>
        </is>
      </c>
      <c r="D80" s="9" t="inlineStr">
        <is>
          <t>文言</t>
        </is>
      </c>
      <c r="E80" s="9" t="inlineStr">
        <is>
          <t>【文言】ペット：不可（A-p03）／小鳥2羽・観賞魚・盲導犬のみ可（住まいの教科書）。「不可」を入れた。</t>
        </is>
      </c>
    </row>
    <row r="81">
      <c r="A81" s="9" t="inlineStr">
        <is>
          <t>02</t>
        </is>
      </c>
      <c r="B81" s="9" t="inlineStr">
        <is>
          <t>アクシア青山</t>
        </is>
      </c>
      <c r="C81" s="9" t="inlineStr">
        <is>
          <t>20階</t>
        </is>
      </c>
      <c r="D81" s="9" t="inlineStr">
        <is>
          <t>文言</t>
        </is>
      </c>
      <c r="E81" s="9" t="inlineStr">
        <is>
          <t>【文言】用途地域：商業地域・第二種住居地域（A-p03）／商業のみ（SUUMO）。</t>
        </is>
      </c>
    </row>
    <row r="82">
      <c r="A82" s="9" t="inlineStr">
        <is>
          <t>02</t>
        </is>
      </c>
      <c r="B82" s="9" t="inlineStr">
        <is>
          <t>アクシア青山</t>
        </is>
      </c>
      <c r="C82" s="9" t="inlineStr">
        <is>
          <t>20階</t>
        </is>
      </c>
      <c r="D82" s="9" t="inlineStr">
        <is>
          <t>文言</t>
        </is>
      </c>
      <c r="E82" s="9" t="inlineStr">
        <is>
          <t>【文言】リフォーム履歴：元付HP特徴欄に「リフォーム」の語だけあり内容・時期は不明。「リフォーム済」は付けていない。</t>
        </is>
      </c>
    </row>
    <row r="83">
      <c r="A83" s="9" t="inlineStr">
        <is>
          <t>02</t>
        </is>
      </c>
      <c r="B83" s="9" t="inlineStr">
        <is>
          <t>アクシア青山</t>
        </is>
      </c>
      <c r="C83" s="9" t="inlineStr">
        <is>
          <t>20階</t>
        </is>
      </c>
      <c r="D83" s="9" t="inlineStr">
        <is>
          <t>文言</t>
        </is>
      </c>
      <c r="E83" s="9" t="inlineStr">
        <is>
          <t>【文言】小学校区・中学校区・バイク置場・病院は他社HP／ポータル由来。Yahoo!その他概要にのみ記載。</t>
        </is>
      </c>
    </row>
    <row r="84">
      <c r="A84" s="9" t="inlineStr">
        <is>
          <t>02</t>
        </is>
      </c>
      <c r="B84" s="9" t="inlineStr">
        <is>
          <t>アクシア青山</t>
        </is>
      </c>
      <c r="C84" s="9" t="inlineStr">
        <is>
          <t>20階</t>
        </is>
      </c>
      <c r="D84" s="9" t="inlineStr">
        <is>
          <t>文言</t>
        </is>
      </c>
      <c r="E84" s="9" t="inlineStr">
        <is>
          <t>【文言】A-p03の右下に「【宅建業者様専用】」の表記（QR部分）。依頼者は広告承諾取得済との指示。</t>
        </is>
      </c>
    </row>
    <row r="85">
      <c r="A85" s="9" t="inlineStr">
        <is>
          <t>02</t>
        </is>
      </c>
      <c r="B85" s="9" t="inlineStr">
        <is>
          <t>アクシア青山</t>
        </is>
      </c>
      <c r="C85" s="9" t="inlineStr">
        <is>
          <t>20階</t>
        </is>
      </c>
      <c r="D85" s="9" t="inlineStr">
        <is>
          <t>文言</t>
        </is>
      </c>
      <c r="E85" s="9" t="inlineStr">
        <is>
          <t>【文言】画像：販売図面から切り出したルーフテラス写真（02_ルーフテラス、311×205px）は長辺400px未満のため images_pending_permission に移した。前面道路の写真（08_前面道路）は住戸と関係が薄く掲載の質を下げるため同じく移した。ルーフテラスの写真は元付に原本を依頼するとよい。</t>
        </is>
      </c>
    </row>
    <row r="86">
      <c r="A86" s="9" t="inlineStr">
        <is>
          <t>02</t>
        </is>
      </c>
      <c r="B86" s="9" t="inlineStr">
        <is>
          <t>アクシア青山</t>
        </is>
      </c>
      <c r="C86" s="9" t="inlineStr">
        <is>
          <t>20階</t>
        </is>
      </c>
      <c r="D86" s="9" t="inlineStr">
        <is>
          <t>文言</t>
        </is>
      </c>
      <c r="E86" s="9" t="inlineStr">
        <is>
          <t>【文言】未取得の部位：トイレ、シャワールーム、WIC、玄関、勝手口、主寝室。</t>
        </is>
      </c>
    </row>
    <row r="87">
      <c r="A87" s="9" t="inlineStr">
        <is>
          <t>02</t>
        </is>
      </c>
      <c r="B87" s="9" t="inlineStr">
        <is>
          <t>アクシア青山</t>
        </is>
      </c>
      <c r="C87" s="9" t="inlineStr">
        <is>
          <t>20階</t>
        </is>
      </c>
      <c r="D87" s="9" t="inlineStr">
        <is>
          <t>推測入力</t>
        </is>
      </c>
      <c r="E87" s="9" t="inlineStr">
        <is>
          <t>洋室3枚（08〜10）が主寝室・Bed room1・2のどれかは特定できないため、すべて「洋室(21)」とした。</t>
        </is>
      </c>
    </row>
    <row r="88">
      <c r="A88" s="9" t="inlineStr">
        <is>
          <t>02</t>
        </is>
      </c>
      <c r="B88" s="9" t="inlineStr">
        <is>
          <t>アクシア青山</t>
        </is>
      </c>
      <c r="C88" s="9" t="inlineStr">
        <is>
          <t>20階</t>
        </is>
      </c>
      <c r="D88" s="9" t="inlineStr">
        <is>
          <t>推測入力</t>
        </is>
      </c>
      <c r="E88" s="9" t="inlineStr">
        <is>
          <t>ファミリールームは「その他居室(37)」、オートロックは「エントランス(16)」、メールボックス・宅配ボックスは「その他共用部分(19)」を選択。</t>
        </is>
      </c>
    </row>
    <row r="89">
      <c r="A89" s="9" t="inlineStr">
        <is>
          <t>02</t>
        </is>
      </c>
      <c r="B89" s="9" t="inlineStr">
        <is>
          <t>アクシア青山</t>
        </is>
      </c>
      <c r="C89" s="9" t="inlineStr">
        <is>
          <t>20階</t>
        </is>
      </c>
      <c r="D89" s="9" t="inlineStr">
        <is>
          <t>推測入力</t>
        </is>
      </c>
      <c r="E89" s="9" t="inlineStr">
        <is>
          <t>眺望写真の内容（高層ビル群・緑）は写真からの判断。方角は書いていない。</t>
        </is>
      </c>
    </row>
    <row r="90">
      <c r="A90" s="9" t="inlineStr">
        <is>
          <t>02</t>
        </is>
      </c>
      <c r="B90" s="9" t="inlineStr">
        <is>
          <t>アクシア青山</t>
        </is>
      </c>
      <c r="C90" s="9" t="inlineStr">
        <is>
          <t>20階</t>
        </is>
      </c>
      <c r="D90" s="9" t="inlineStr">
        <is>
          <t>推測入力</t>
        </is>
      </c>
      <c r="E90" s="9" t="inlineStr">
        <is>
          <t>コメントの表現（暮らしのイメージ部分）は写真と図面からの推測を含む。</t>
        </is>
      </c>
    </row>
    <row r="91">
      <c r="A91" s="9" t="inlineStr">
        <is>
          <t>03</t>
        </is>
      </c>
      <c r="B91" s="9" t="inlineStr">
        <is>
          <t>シティタワー高輪</t>
        </is>
      </c>
      <c r="C91" s="9" t="inlineStr">
        <is>
          <t>34階</t>
        </is>
      </c>
      <c r="D91" s="9" t="inlineStr">
        <is>
          <t>数値（図面値で入力）</t>
        </is>
      </c>
      <c r="E91" s="9" t="inlineStr">
        <is>
          <t>【数値・図面値で入力】竣工年月：2004年1月（A-p07・小田急HP）で入力（他の値：2004年3月＝住友不動産系・リバブル・Wikipedia）。</t>
        </is>
      </c>
    </row>
    <row r="92">
      <c r="A92" s="9" t="inlineStr">
        <is>
          <t>03</t>
        </is>
      </c>
      <c r="B92" s="9" t="inlineStr">
        <is>
          <t>シティタワー高輪</t>
        </is>
      </c>
      <c r="C92" s="9" t="inlineStr">
        <is>
          <t>34階</t>
        </is>
      </c>
      <c r="D92" s="9" t="inlineStr">
        <is>
          <t>数値（図面値で入力）</t>
        </is>
      </c>
      <c r="E92" s="9" t="inlineStr">
        <is>
          <t>【数値・図面値で入力】敷地面積：4,386.90㎡（A-p07）で入力（他の値：4,388.91㎡＝住友不動産系・Wikipedia）。</t>
        </is>
      </c>
    </row>
    <row r="93">
      <c r="A93" s="9" t="inlineStr">
        <is>
          <t>03</t>
        </is>
      </c>
      <c r="B93" s="9" t="inlineStr">
        <is>
          <t>シティタワー高輪</t>
        </is>
      </c>
      <c r="C93" s="9" t="inlineStr">
        <is>
          <t>34階</t>
        </is>
      </c>
      <c r="D93" s="9" t="inlineStr">
        <is>
          <t>数値（図面値で入力）</t>
        </is>
      </c>
      <c r="E93" s="9" t="inlineStr">
        <is>
          <t>【数値・図面値で入力】駅徒歩：白金高輪7分・高輪台8分・白金台11分・高輪ゲートウェイ16分（A-p07）で入力（他の値：白金高輪6分＝小田急HP POINT欄・リバブル、高輪台9分＝SUUMO・10分＝ステップ概要・ケン、白金台10分＝住友不動産系、高輪ゲートウェイ17分＝ケン）。</t>
        </is>
      </c>
    </row>
    <row r="94">
      <c r="A94" s="9" t="inlineStr">
        <is>
          <t>03</t>
        </is>
      </c>
      <c r="B94" s="9" t="inlineStr">
        <is>
          <t>シティタワー高輪</t>
        </is>
      </c>
      <c r="C94" s="9" t="inlineStr">
        <is>
          <t>34階</t>
        </is>
      </c>
      <c r="D94" s="9" t="inlineStr">
        <is>
          <t>数値（図面値で入力）</t>
        </is>
      </c>
      <c r="E94" s="9" t="inlineStr">
        <is>
          <t>【数値・図面値で入力】大規模修繕2016年6月完了は東急リバブルのライブラリー記載のみ。掲載文には入れていない。</t>
        </is>
      </c>
    </row>
    <row r="95">
      <c r="A95" s="9" t="inlineStr">
        <is>
          <t>03</t>
        </is>
      </c>
      <c r="B95" s="9" t="inlineStr">
        <is>
          <t>シティタワー高輪</t>
        </is>
      </c>
      <c r="C95" s="9" t="inlineStr">
        <is>
          <t>34階</t>
        </is>
      </c>
      <c r="D95" s="9" t="inlineStr">
        <is>
          <t>文言</t>
        </is>
      </c>
      <c r="E95" s="9" t="inlineStr">
        <is>
          <t>【文言】写真06_眺望（販売図面の切り出し）の「絶景の東京タワービュー ※天候による」の文字部分を除いたトリミング版（34階/写真/06_眺望_文字除去.jpg、645×387px）を作り、images をそれに差し替えた。元の06_眺望.jpg は掲載に使わない。</t>
        </is>
      </c>
    </row>
    <row r="96">
      <c r="A96" s="9" t="inlineStr">
        <is>
          <t>03</t>
        </is>
      </c>
      <c r="B96" s="9" t="inlineStr">
        <is>
          <t>シティタワー高輪</t>
        </is>
      </c>
      <c r="C96" s="9" t="inlineStr">
        <is>
          <t>34階</t>
        </is>
      </c>
      <c r="D96" s="9" t="inlineStr">
        <is>
          <t>文言</t>
        </is>
      </c>
      <c r="E96" s="9" t="inlineStr">
        <is>
          <t>【文言】写真05_エントランスラウンジ（販売図面の切り出し）の右下のキャプション文字「エントランスラウンジ」を除いたトリミング版（共用部/05_エントランスラウンジ_文字除去.jpg、628×340px）に差し替えた。</t>
        </is>
      </c>
    </row>
    <row r="97">
      <c r="A97" s="9" t="inlineStr">
        <is>
          <t>03</t>
        </is>
      </c>
      <c r="B97" s="9" t="inlineStr">
        <is>
          <t>シティタワー高輪</t>
        </is>
      </c>
      <c r="C97" s="9" t="inlineStr">
        <is>
          <t>34階</t>
        </is>
      </c>
      <c r="D97" s="9" t="inlineStr">
        <is>
          <t>文言</t>
        </is>
      </c>
      <c r="E97" s="9" t="inlineStr">
        <is>
          <t>【文言】A-p07の図面に「※無断広告掲載禁止」「広告掲載およびご案内希望の場合は事前にご連絡下さい」の表記。依頼者は承諾取得済との指示だが、事前連絡の要否は元付に確認。</t>
        </is>
      </c>
    </row>
    <row r="98">
      <c r="A98" s="9" t="inlineStr">
        <is>
          <t>03</t>
        </is>
      </c>
      <c r="B98" s="9" t="inlineStr">
        <is>
          <t>シティタワー高輪</t>
        </is>
      </c>
      <c r="C98" s="9" t="inlineStr">
        <is>
          <t>34階</t>
        </is>
      </c>
      <c r="D98" s="9" t="inlineStr">
        <is>
          <t>文言</t>
        </is>
      </c>
      <c r="E98" s="9" t="inlineStr">
        <is>
          <t>【文言】元付（売主）小田急不動産の宅建業免許番号：図面・物件情報に記載なし。入力前に確認。</t>
        </is>
      </c>
    </row>
    <row r="99">
      <c r="A99" s="9" t="inlineStr">
        <is>
          <t>03</t>
        </is>
      </c>
      <c r="B99" s="9" t="inlineStr">
        <is>
          <t>シティタワー高輪</t>
        </is>
      </c>
      <c r="C99" s="9" t="inlineStr">
        <is>
          <t>34階</t>
        </is>
      </c>
      <c r="D99" s="9" t="inlineStr">
        <is>
          <t>文言</t>
        </is>
      </c>
      <c r="E99" s="9" t="inlineStr">
        <is>
          <t>【文言】管理方式：常駐管理（A-p07）／日勤（小田急HP・マンションレビュー）。図面の「常駐管理」を入れた。</t>
        </is>
      </c>
    </row>
    <row r="100">
      <c r="A100" s="9" t="inlineStr">
        <is>
          <t>03</t>
        </is>
      </c>
      <c r="B100" s="9" t="inlineStr">
        <is>
          <t>シティタワー高輪</t>
        </is>
      </c>
      <c r="C100" s="9" t="inlineStr">
        <is>
          <t>34階</t>
        </is>
      </c>
      <c r="D100" s="9" t="inlineStr">
        <is>
          <t>文言</t>
        </is>
      </c>
      <c r="E100" s="9" t="inlineStr">
        <is>
          <t>【文言】分譲会社：住友不動産（A-p07）／住友不動産・デ・リードコーポレーション（住友不動産系物件紹介サイト）。</t>
        </is>
      </c>
    </row>
    <row r="101">
      <c r="A101" s="9" t="inlineStr">
        <is>
          <t>03</t>
        </is>
      </c>
      <c r="B101" s="9" t="inlineStr">
        <is>
          <t>シティタワー高輪</t>
        </is>
      </c>
      <c r="C101" s="9" t="inlineStr">
        <is>
          <t>34階</t>
        </is>
      </c>
      <c r="D101" s="9" t="inlineStr">
        <is>
          <t>文言</t>
        </is>
      </c>
      <c r="E101" s="9" t="inlineStr">
        <is>
          <t>【文言】向き：北東（小田急HP・SUUMO）。図面に向きの記載なし。</t>
        </is>
      </c>
    </row>
    <row r="102">
      <c r="A102" s="9" t="inlineStr">
        <is>
          <t>03</t>
        </is>
      </c>
      <c r="B102" s="9" t="inlineStr">
        <is>
          <t>シティタワー高輪</t>
        </is>
      </c>
      <c r="C102" s="9" t="inlineStr">
        <is>
          <t>34階</t>
        </is>
      </c>
      <c r="D102" s="9" t="inlineStr">
        <is>
          <t>文言</t>
        </is>
      </c>
      <c r="E102" s="9" t="inlineStr">
        <is>
          <t>【文言】間取り表記：5LDK＋3WIC＋SIC（A-p07）／5LDK（小田急HP概要・SUUMO）。</t>
        </is>
      </c>
    </row>
    <row r="103">
      <c r="A103" s="9" t="inlineStr">
        <is>
          <t>03</t>
        </is>
      </c>
      <c r="B103" s="9" t="inlineStr">
        <is>
          <t>シティタワー高輪</t>
        </is>
      </c>
      <c r="C103" s="9" t="inlineStr">
        <is>
          <t>34階</t>
        </is>
      </c>
      <c r="D103" s="9" t="inlineStr">
        <is>
          <t>文言</t>
        </is>
      </c>
      <c r="E103" s="9" t="inlineStr">
        <is>
          <t>【文言】キッチン加熱機器：IH（小田急HP、写真09で確認）／分譲時はガスコンロ。ディスポーザーは分譲時仕様のみ確認のため設備チェックに入れていない。</t>
        </is>
      </c>
    </row>
    <row r="104">
      <c r="A104" s="9" t="inlineStr">
        <is>
          <t>03</t>
        </is>
      </c>
      <c r="B104" s="9" t="inlineStr">
        <is>
          <t>シティタワー高輪</t>
        </is>
      </c>
      <c r="C104" s="9" t="inlineStr">
        <is>
          <t>34階</t>
        </is>
      </c>
      <c r="D104" s="9" t="inlineStr">
        <is>
          <t>文言</t>
        </is>
      </c>
      <c r="E104" s="9" t="inlineStr">
        <is>
          <t>【文言】写真で許可済みのものがない部位：洋室、浴室、洗面室、トイレ、シャワールーム、バルコニー。洋室・浴室・洗面・バルコニーはSUUMO掲載（元付がポータルに掲載したカット。元付HPには未掲載）のみのため images_pending_permission に置いた。</t>
        </is>
      </c>
    </row>
    <row r="105">
      <c r="A105" s="9" t="inlineStr">
        <is>
          <t>03</t>
        </is>
      </c>
      <c r="B105" s="9" t="inlineStr">
        <is>
          <t>シティタワー高輪</t>
        </is>
      </c>
      <c r="C105" s="9" t="inlineStr">
        <is>
          <t>34階</t>
        </is>
      </c>
      <c r="D105" s="9" t="inlineStr">
        <is>
          <t>文言</t>
        </is>
      </c>
      <c r="E105" s="9" t="inlineStr">
        <is>
          <t>【文言】写真の写り込み文字：上記2点のほか、images の写真に禁止語・他社名・社内向けの文字はない（目視確認）。要許可側のVVVHOMES由来4枚には透かしあり（"watermark": true）。</t>
        </is>
      </c>
    </row>
    <row r="106">
      <c r="A106" s="9" t="inlineStr">
        <is>
          <t>03</t>
        </is>
      </c>
      <c r="B106" s="9" t="inlineStr">
        <is>
          <t>シティタワー高輪</t>
        </is>
      </c>
      <c r="C106" s="9" t="inlineStr">
        <is>
          <t>34階</t>
        </is>
      </c>
      <c r="D106" s="9" t="inlineStr">
        <is>
          <t>推測入力</t>
        </is>
      </c>
      <c r="E106" s="9" t="inlineStr">
        <is>
          <t>写真13（住戸前スペース）は「玄関(7)」、写真12（玄関ホール）は「その他内観(38)」、畳コーナーは「和室(22)」とした。</t>
        </is>
      </c>
    </row>
    <row r="107">
      <c r="A107" s="9" t="inlineStr">
        <is>
          <t>03</t>
        </is>
      </c>
      <c r="B107" s="9" t="inlineStr">
        <is>
          <t>シティタワー高輪</t>
        </is>
      </c>
      <c r="C107" s="9" t="inlineStr">
        <is>
          <t>34階</t>
        </is>
      </c>
      <c r="D107" s="9" t="inlineStr">
        <is>
          <t>推測入力</t>
        </is>
      </c>
      <c r="E107" s="9" t="inlineStr">
        <is>
          <t>共用部：グランドロビー・エントランスラウンジは「ロビー(44)」、フォーマルゲート・敷地内通路・ラウンジ・シアター・茶室は「その他共用部分(19)」。</t>
        </is>
      </c>
    </row>
    <row r="108">
      <c r="A108" s="9" t="inlineStr">
        <is>
          <t>03</t>
        </is>
      </c>
      <c r="B108" s="9" t="inlineStr">
        <is>
          <t>シティタワー高輪</t>
        </is>
      </c>
      <c r="C108" s="9" t="inlineStr">
        <is>
          <t>34階</t>
        </is>
      </c>
      <c r="D108" s="9" t="inlineStr">
        <is>
          <t>推測入力</t>
        </is>
      </c>
      <c r="E108" s="9" t="inlineStr">
        <is>
          <t>要許可の洋室4枚がBedroom①〜④のどれかは特定できない。</t>
        </is>
      </c>
    </row>
    <row r="109">
      <c r="A109" s="9" t="inlineStr">
        <is>
          <t>03</t>
        </is>
      </c>
      <c r="B109" s="9" t="inlineStr">
        <is>
          <t>シティタワー高輪</t>
        </is>
      </c>
      <c r="C109" s="9" t="inlineStr">
        <is>
          <t>34階</t>
        </is>
      </c>
      <c r="D109" s="9" t="inlineStr">
        <is>
          <t>推測入力</t>
        </is>
      </c>
      <c r="E109" s="9" t="inlineStr">
        <is>
          <t>リビング写真の「オーク材の床」「天然石の柱・壁」は小田急HP店長コメント（オーク材・天然石）と写真からの表現。</t>
        </is>
      </c>
    </row>
    <row r="110">
      <c r="A110" s="9" t="inlineStr">
        <is>
          <t>03</t>
        </is>
      </c>
      <c r="B110" s="9" t="inlineStr">
        <is>
          <t>シティタワー高輪</t>
        </is>
      </c>
      <c r="C110" s="9" t="inlineStr">
        <is>
          <t>34階</t>
        </is>
      </c>
      <c r="D110" s="9" t="inlineStr">
        <is>
          <t>推測入力</t>
        </is>
      </c>
      <c r="E110" s="9" t="inlineStr">
        <is>
          <t>「東京湾方面まで見通せる」は小田急HP店長コメント（東側の東京湾）に基づく表現。</t>
        </is>
      </c>
    </row>
    <row r="111">
      <c r="A111" s="9" t="inlineStr">
        <is>
          <t>03</t>
        </is>
      </c>
      <c r="B111" s="9" t="inlineStr">
        <is>
          <t>シティタワー高輪</t>
        </is>
      </c>
      <c r="C111" s="9" t="inlineStr">
        <is>
          <t>34階</t>
        </is>
      </c>
      <c r="D111" s="9" t="inlineStr">
        <is>
          <t>推測入力</t>
        </is>
      </c>
      <c r="E111" s="9" t="inlineStr">
        <is>
          <t>コメントの表現（暮らしのイメージ部分）は写真と図面からの推測を含む。</t>
        </is>
      </c>
    </row>
    <row r="112">
      <c r="A112" s="9" t="inlineStr">
        <is>
          <t>04</t>
        </is>
      </c>
      <c r="B112" s="9" t="inlineStr">
        <is>
          <t>パークコート赤坂ザタワー</t>
        </is>
      </c>
      <c r="C112" s="9" t="inlineStr">
        <is>
          <t>4307号室</t>
        </is>
      </c>
      <c r="D112" s="9" t="inlineStr">
        <is>
          <t>数値（図面値で入力）</t>
        </is>
      </c>
      <c r="E112" s="9" t="inlineStr">
        <is>
          <t>【数値・図面値で入力】総戸数：図面値521戸で入力（他の値：518戸＝三井公式・分譲時リリース・港区。図面にも内訳「住宅518戸・他店舗3戸」の記載があり、コメントは「521戸（住宅518戸）」と併記）</t>
        </is>
      </c>
    </row>
    <row r="113">
      <c r="A113" s="9" t="inlineStr">
        <is>
          <t>04</t>
        </is>
      </c>
      <c r="B113" s="9" t="inlineStr">
        <is>
          <t>パークコート赤坂ザタワー</t>
        </is>
      </c>
      <c r="C113" s="9" t="inlineStr">
        <is>
          <t>4307号室</t>
        </is>
      </c>
      <c r="D113" s="9" t="inlineStr">
        <is>
          <t>数値（図面値で入力）</t>
        </is>
      </c>
      <c r="E113" s="9" t="inlineStr">
        <is>
          <t>【数値・図面値で入力】専有面積：図面値218.19㎡で入力（他の値：218.09㎡＝リンネ新築時価格表）。壁芯・内法の別は図面に記載なし</t>
        </is>
      </c>
    </row>
    <row r="114">
      <c r="A114" s="9" t="inlineStr">
        <is>
          <t>04</t>
        </is>
      </c>
      <c r="B114" s="9" t="inlineStr">
        <is>
          <t>パークコート赤坂ザタワー</t>
        </is>
      </c>
      <c r="C114" s="9" t="inlineStr">
        <is>
          <t>4307号室</t>
        </is>
      </c>
      <c r="D114" s="9" t="inlineStr">
        <is>
          <t>数値（図面値で入力）</t>
        </is>
      </c>
      <c r="E114" s="9" t="inlineStr">
        <is>
          <t>【数値・図面値で入力】交通：図面値 赤坂8分・青山一丁目9分・赤坂見附9分で入力（他の値：赤坂9分・青山一丁目10分・赤坂見附（丸ノ内線）11分＝KEN）</t>
        </is>
      </c>
    </row>
    <row r="115">
      <c r="A115" s="9" t="inlineStr">
        <is>
          <t>04</t>
        </is>
      </c>
      <c r="B115" s="9" t="inlineStr">
        <is>
          <t>パークコート赤坂ザタワー</t>
        </is>
      </c>
      <c r="C115" s="9" t="inlineStr">
        <is>
          <t>4307号室</t>
        </is>
      </c>
      <c r="D115" s="9" t="inlineStr">
        <is>
          <t>数値（図面値で入力）</t>
        </is>
      </c>
      <c r="E115" s="9" t="inlineStr">
        <is>
          <t>【数値・図面値で入力】駐車場台数：図面値324台で入力（他の値：330台＝港区 事業概要）</t>
        </is>
      </c>
    </row>
    <row r="116">
      <c r="A116" s="9" t="inlineStr">
        <is>
          <t>04</t>
        </is>
      </c>
      <c r="B116" s="9" t="inlineStr">
        <is>
          <t>パークコート赤坂ザタワー</t>
        </is>
      </c>
      <c r="C116" s="9" t="inlineStr">
        <is>
          <t>4307号室</t>
        </is>
      </c>
      <c r="D116" s="9" t="inlineStr">
        <is>
          <t>数値（図面値で入力）</t>
        </is>
      </c>
      <c r="E116" s="9" t="inlineStr">
        <is>
          <t>【数値・図面値で入力】駐車場使用料：図面値160,000円（平置2台分）で入力（他の値：80,000円×2区画＝公式PDF 2021年3月作成。合計は一致。現行額は管理会社で確認推奨）</t>
        </is>
      </c>
    </row>
    <row r="117">
      <c r="A117" s="9" t="inlineStr">
        <is>
          <t>04</t>
        </is>
      </c>
      <c r="B117" s="9" t="inlineStr">
        <is>
          <t>パークコート赤坂ザタワー</t>
        </is>
      </c>
      <c r="C117" s="9" t="inlineStr">
        <is>
          <t>4307号室</t>
        </is>
      </c>
      <c r="D117" s="9" t="inlineStr">
        <is>
          <t>数値（図面値で入力）</t>
        </is>
      </c>
      <c r="E117" s="9" t="inlineStr">
        <is>
          <t>【数値・図面値で入力】価格188,000万円の税区分が図面に記載なし（売主は法人。税込か否かを元付に確認）</t>
        </is>
      </c>
    </row>
    <row r="118">
      <c r="A118" s="9" t="inlineStr">
        <is>
          <t>04</t>
        </is>
      </c>
      <c r="B118" s="9" t="inlineStr">
        <is>
          <t>パークコート赤坂ザタワー</t>
        </is>
      </c>
      <c r="C118" s="9" t="inlineStr">
        <is>
          <t>4307号室</t>
        </is>
      </c>
      <c r="D118" s="9" t="inlineStr">
        <is>
          <t>数値（図面値で入力）</t>
        </is>
      </c>
      <c r="E118" s="9" t="inlineStr">
        <is>
          <t>【数値・図面値で入力】周辺施設距離（図面に記載なし）：赤坂サカス約500m（三井公式）／約280m（ノムコム）・約750m（MR）、高橋是清翁記念公園 約700m（三井公式）／約350m（MR）→ 三井公式値を採用</t>
        </is>
      </c>
    </row>
    <row r="119">
      <c r="A119" s="9" t="inlineStr">
        <is>
          <t>04</t>
        </is>
      </c>
      <c r="B119" s="9" t="inlineStr">
        <is>
          <t>パークコート赤坂ザタワー</t>
        </is>
      </c>
      <c r="C119" s="9" t="inlineStr">
        <is>
          <t>4307号室</t>
        </is>
      </c>
      <c r="D119" s="9" t="inlineStr">
        <is>
          <t>文言</t>
        </is>
      </c>
      <c r="E119" s="9" t="inlineStr">
        <is>
          <t>【文言】図面に「広告掲載 全面不可」の表記あり（依頼者より承諾取得済との指示あり）。出稿前に承諾の範囲（ポータル可否）を最終確認</t>
        </is>
      </c>
    </row>
    <row r="120">
      <c r="A120" s="9" t="inlineStr">
        <is>
          <t>04</t>
        </is>
      </c>
      <c r="B120" s="9" t="inlineStr">
        <is>
          <t>パークコート赤坂ザタワー</t>
        </is>
      </c>
      <c r="C120" s="9" t="inlineStr">
        <is>
          <t>4307号室</t>
        </is>
      </c>
      <c r="D120" s="9" t="inlineStr">
        <is>
          <t>文言</t>
        </is>
      </c>
      <c r="E120" s="9" t="inlineStr">
        <is>
          <t>【文言】構造：鉄筋コンクリート造（図面 A-p09）／鉄筋コンクリート造一部鉄骨造（分譲時リリース・Wikipedia・MR）→ 図面どおり入力</t>
        </is>
      </c>
    </row>
    <row r="121">
      <c r="A121" s="9" t="inlineStr">
        <is>
          <t>04</t>
        </is>
      </c>
      <c r="B121" s="9" t="inlineStr">
        <is>
          <t>パークコート赤坂ザタワー</t>
        </is>
      </c>
      <c r="C121" s="9" t="inlineStr">
        <is>
          <t>4307号室</t>
        </is>
      </c>
      <c r="D121" s="9" t="inlineStr">
        <is>
          <t>文言</t>
        </is>
      </c>
      <c r="E121" s="9" t="inlineStr">
        <is>
          <t>【文言】間取り：3LDK（図面 A-p09）／2LDK（HOME'S不動産アーカイブ 2019年賃貸履歴＝リノベ前）→ 3LDKを入力</t>
        </is>
      </c>
    </row>
    <row r="122">
      <c r="A122" s="9" t="inlineStr">
        <is>
          <t>04</t>
        </is>
      </c>
      <c r="B122" s="9" t="inlineStr">
        <is>
          <t>パークコート赤坂ザタワー</t>
        </is>
      </c>
      <c r="C122" s="9" t="inlineStr">
        <is>
          <t>4307号室</t>
        </is>
      </c>
      <c r="D122" s="9" t="inlineStr">
        <is>
          <t>文言</t>
        </is>
      </c>
      <c r="E122" s="9" t="inlineStr">
        <is>
          <t>【文言】制震／免震：制震構造（分譲時リリース・KEN・プラザ）／免震構造（MR備考）→ 制震構造でコメント作成</t>
        </is>
      </c>
    </row>
    <row r="123">
      <c r="A123" s="9" t="inlineStr">
        <is>
          <t>04</t>
        </is>
      </c>
      <c r="B123" s="9" t="inlineStr">
        <is>
          <t>パークコート赤坂ザタワー</t>
        </is>
      </c>
      <c r="C123" s="9" t="inlineStr">
        <is>
          <t>4307号室</t>
        </is>
      </c>
      <c r="D123" s="9" t="inlineStr">
        <is>
          <t>文言</t>
        </is>
      </c>
      <c r="E123" s="9" t="inlineStr">
        <is>
          <t>【文言】セキュリティ：4重（分譲時リリース）／5重（プラザ）→ 4重でコメント作成</t>
        </is>
      </c>
    </row>
    <row r="124">
      <c r="A124" s="9" t="inlineStr">
        <is>
          <t>04</t>
        </is>
      </c>
      <c r="B124" s="9" t="inlineStr">
        <is>
          <t>パークコート赤坂ザタワー</t>
        </is>
      </c>
      <c r="C124" s="9" t="inlineStr">
        <is>
          <t>4307号室</t>
        </is>
      </c>
      <c r="D124" s="9" t="inlineStr">
        <is>
          <t>文言</t>
        </is>
      </c>
      <c r="E124" s="9" t="inlineStr">
        <is>
          <t>【文言】管理員勤務：日勤（図面）／警備員による24時間有人管理（分譲時リリース）→ 掲載文では「24時間有人管理」を使わず、Yahoo概要のみ分譲時資料として併記</t>
        </is>
      </c>
    </row>
    <row r="125">
      <c r="A125" s="9" t="inlineStr">
        <is>
          <t>04</t>
        </is>
      </c>
      <c r="B125" s="9" t="inlineStr">
        <is>
          <t>パークコート赤坂ザタワー</t>
        </is>
      </c>
      <c r="C125" s="9" t="inlineStr">
        <is>
          <t>4307号室</t>
        </is>
      </c>
      <c r="D125" s="9" t="inlineStr">
        <is>
          <t>文言</t>
        </is>
      </c>
      <c r="E125" s="9" t="inlineStr">
        <is>
          <t>【文言】現況・引渡時期・家具の扱いが図面に記載なし（元付に確認）</t>
        </is>
      </c>
    </row>
    <row r="126">
      <c r="A126" s="9" t="inlineStr">
        <is>
          <t>04</t>
        </is>
      </c>
      <c r="B126" s="9" t="inlineStr">
        <is>
          <t>パークコート赤坂ザタワー</t>
        </is>
      </c>
      <c r="C126" s="9" t="inlineStr">
        <is>
          <t>4307号室</t>
        </is>
      </c>
      <c r="D126" s="9" t="inlineStr">
        <is>
          <t>文言</t>
        </is>
      </c>
      <c r="E126" s="9" t="inlineStr">
        <is>
          <t>【文言】内見は売主立会い・事前アンケート提出が条件（図面）。客付条件として備考に記載済</t>
        </is>
      </c>
    </row>
    <row r="127">
      <c r="A127" s="9" t="inlineStr">
        <is>
          <t>04</t>
        </is>
      </c>
      <c r="B127" s="9" t="inlineStr">
        <is>
          <t>パークコート赤坂ザタワー</t>
        </is>
      </c>
      <c r="C127" s="9" t="inlineStr">
        <is>
          <t>4307号室</t>
        </is>
      </c>
      <c r="D127" s="9" t="inlineStr">
        <is>
          <t>文言</t>
        </is>
      </c>
      <c r="E127" s="9" t="inlineStr">
        <is>
          <t>【文言】元付の免許番号・会社代表TELは図面に記載なし（図面の連絡先は担当者携帯）</t>
        </is>
      </c>
    </row>
    <row r="128">
      <c r="A128" s="9" t="inlineStr">
        <is>
          <t>04</t>
        </is>
      </c>
      <c r="B128" s="9" t="inlineStr">
        <is>
          <t>パークコート赤坂ザタワー</t>
        </is>
      </c>
      <c r="C128" s="9" t="inlineStr">
        <is>
          <t>4307号室</t>
        </is>
      </c>
      <c r="D128" s="9" t="inlineStr">
        <is>
          <t>文言</t>
        </is>
      </c>
      <c r="E128" s="9" t="inlineStr">
        <is>
          <t>【文言】ペット可否は図面に記載なし（ポータルでは規約制限あり・相談）。設備チェックの「ペット可」は付けず、備考は「管理規約をご確認ください」とした</t>
        </is>
      </c>
    </row>
    <row r="129">
      <c r="A129" s="9" t="inlineStr">
        <is>
          <t>04</t>
        </is>
      </c>
      <c r="B129" s="9" t="inlineStr">
        <is>
          <t>パークコート赤坂ザタワー</t>
        </is>
      </c>
      <c r="C129" s="9" t="inlineStr">
        <is>
          <t>4307号室</t>
        </is>
      </c>
      <c r="D129" s="9" t="inlineStr">
        <is>
          <t>文言</t>
        </is>
      </c>
      <c r="E129" s="9" t="inlineStr">
        <is>
          <t>【文言】許可済み画像は図面由来の眺望・間取図の2枚のみ。1枚目は外観がないため眺望とした。外観・共用部は分譲会社公式（31mansion.com）・他社掲載由来のため要許可</t>
        </is>
      </c>
    </row>
    <row r="130">
      <c r="A130" s="9" t="inlineStr">
        <is>
          <t>04</t>
        </is>
      </c>
      <c r="B130" s="9" t="inlineStr">
        <is>
          <t>パークコート赤坂ザタワー</t>
        </is>
      </c>
      <c r="C130" s="9" t="inlineStr">
        <is>
          <t>4307号室</t>
        </is>
      </c>
      <c r="D130" s="9" t="inlineStr">
        <is>
          <t>文言</t>
        </is>
      </c>
      <c r="E130" s="9" t="inlineStr">
        <is>
          <t>【文言】床暖房・ディスポーザー・浴室乾燥機はリノベ後の有無が未確認のため入力していない</t>
        </is>
      </c>
    </row>
    <row r="131">
      <c r="A131" s="9" t="inlineStr">
        <is>
          <t>04</t>
        </is>
      </c>
      <c r="B131" s="9" t="inlineStr">
        <is>
          <t>パークコート赤坂ザタワー</t>
        </is>
      </c>
      <c r="C131" s="9" t="inlineStr">
        <is>
          <t>4307号室</t>
        </is>
      </c>
      <c r="D131" s="9" t="inlineStr">
        <is>
          <t>文言</t>
        </is>
      </c>
      <c r="E131" s="9" t="inlineStr">
        <is>
          <t>【文言】「最上階」は図面の「43階最上階」「地上43階建」表記に基づき使用</t>
        </is>
      </c>
    </row>
    <row r="132">
      <c r="A132" s="9" t="inlineStr">
        <is>
          <t>04</t>
        </is>
      </c>
      <c r="B132" s="9" t="inlineStr">
        <is>
          <t>パークコート赤坂ザタワー</t>
        </is>
      </c>
      <c r="C132" s="9" t="inlineStr">
        <is>
          <t>4307号室</t>
        </is>
      </c>
      <c r="D132" s="9" t="inlineStr">
        <is>
          <t>推測入力</t>
        </is>
      </c>
      <c r="E132" s="9" t="inlineStr">
        <is>
          <t>設備チェック「エレベーター」：地上43階建のため（図面）</t>
        </is>
      </c>
    </row>
    <row r="133">
      <c r="A133" s="9" t="inlineStr">
        <is>
          <t>04</t>
        </is>
      </c>
      <c r="B133" s="9" t="inlineStr">
        <is>
          <t>パークコート赤坂ザタワー</t>
        </is>
      </c>
      <c r="C133" s="9" t="inlineStr">
        <is>
          <t>4307号室</t>
        </is>
      </c>
      <c r="D133" s="9" t="inlineStr">
        <is>
          <t>推測入力</t>
        </is>
      </c>
      <c r="E133" s="9" t="inlineStr">
        <is>
          <t>設備チェック「オートロック」：分譲時リリースのIC認証・4重セキュリティ、リバブルのダブルオートロック記載から</t>
        </is>
      </c>
    </row>
    <row r="134">
      <c r="A134" s="9" t="inlineStr">
        <is>
          <t>04</t>
        </is>
      </c>
      <c r="B134" s="9" t="inlineStr">
        <is>
          <t>パークコート赤坂ザタワー</t>
        </is>
      </c>
      <c r="C134" s="9" t="inlineStr">
        <is>
          <t>4307号室</t>
        </is>
      </c>
      <c r="D134" s="9" t="inlineStr">
        <is>
          <t>推測入力</t>
        </is>
      </c>
      <c r="E134" s="9" t="inlineStr">
        <is>
          <t>設備チェック「宅配ボックス」：KEN・リハウス（ポータル）の記載から</t>
        </is>
      </c>
    </row>
    <row r="135">
      <c r="A135" s="9" t="inlineStr">
        <is>
          <t>04</t>
        </is>
      </c>
      <c r="B135" s="9" t="inlineStr">
        <is>
          <t>パークコート赤坂ザタワー</t>
        </is>
      </c>
      <c r="C135" s="9" t="inlineStr">
        <is>
          <t>4307号室</t>
        </is>
      </c>
      <c r="D135" s="9" t="inlineStr">
        <is>
          <t>推測入力</t>
        </is>
      </c>
      <c r="E135" s="9" t="inlineStr">
        <is>
          <t>向き「北」：図面の方位記号と窓・バルコニー位置から判断（物件情報.md④）。HOME'Sアーカイブの賃貸履歴も北</t>
        </is>
      </c>
    </row>
    <row r="136">
      <c r="A136" s="9" t="inlineStr">
        <is>
          <t>04</t>
        </is>
      </c>
      <c r="B136" s="9" t="inlineStr">
        <is>
          <t>パークコート赤坂ザタワー</t>
        </is>
      </c>
      <c r="C136" s="9" t="inlineStr">
        <is>
          <t>4307号室</t>
        </is>
      </c>
      <c r="D136" s="9" t="inlineStr">
        <is>
          <t>推測入力</t>
        </is>
      </c>
      <c r="E136" s="9" t="inlineStr">
        <is>
          <t>画像 01_眺望.jpg のカテゴリ：写真の内容（赤坂御用地の緑と新宿方面の街並み）から「現地からの眺望」とした</t>
        </is>
      </c>
    </row>
    <row r="137">
      <c r="A137" s="9" t="inlineStr">
        <is>
          <t>04</t>
        </is>
      </c>
      <c r="B137" s="9" t="inlineStr">
        <is>
          <t>パークコート赤坂ザタワー</t>
        </is>
      </c>
      <c r="C137" s="9" t="inlineStr">
        <is>
          <t>4307号室</t>
        </is>
      </c>
      <c r="D137" s="9" t="inlineStr">
        <is>
          <t>推測入力</t>
        </is>
      </c>
      <c r="E137" s="9" t="inlineStr">
        <is>
          <t>設備チェック「防犯カメラ」「内廊下」「24時間ゴミ出し可」「トランクルーム」「オール電化」：物件情報.md⑥の根拠付き候補から追加（ポータル・分譲時資料）</t>
        </is>
      </c>
    </row>
    <row r="138">
      <c r="A138" s="9" t="inlineStr">
        <is>
          <t>04</t>
        </is>
      </c>
      <c r="B138" s="9" t="inlineStr">
        <is>
          <t>パークコート赤坂ザタワー</t>
        </is>
      </c>
      <c r="C138" s="9" t="inlineStr">
        <is>
          <t>4307号室</t>
        </is>
      </c>
      <c r="D138" s="9" t="inlineStr">
        <is>
          <t>推測入力</t>
        </is>
      </c>
      <c r="E138" s="9" t="inlineStr">
        <is>
          <t>設備チェック「防犯カメラ」「内廊下」「24時間ゴミ出し可」「トランクルーム」「オール電化」：物件情報.md⑥の根拠付き候補から追加（ポータル・分譲時資料）</t>
        </is>
      </c>
    </row>
    <row r="139">
      <c r="A139" s="9" t="inlineStr">
        <is>
          <t>04</t>
        </is>
      </c>
      <c r="B139" s="9" t="inlineStr">
        <is>
          <t>パークコート赤坂ザタワー</t>
        </is>
      </c>
      <c r="C139" s="9" t="inlineStr">
        <is>
          <t>4307号室</t>
        </is>
      </c>
      <c r="D139" s="9" t="inlineStr">
        <is>
          <t>推測入力</t>
        </is>
      </c>
      <c r="E139" s="9" t="inlineStr">
        <is>
          <t>設備チェック「防犯カメラ」「内廊下」「24時間ゴミ出し可」「トランクルーム」「オール電化」：物件情報.md⑥の根拠付き候補から追加（ポータル・分譲時資料）</t>
        </is>
      </c>
    </row>
    <row r="140">
      <c r="A140" s="9" t="inlineStr">
        <is>
          <t>04</t>
        </is>
      </c>
      <c r="B140" s="9" t="inlineStr">
        <is>
          <t>パークコート赤坂ザタワー</t>
        </is>
      </c>
      <c r="C140" s="9" t="inlineStr">
        <is>
          <t>4307号室</t>
        </is>
      </c>
      <c r="D140" s="9" t="inlineStr">
        <is>
          <t>推測入力</t>
        </is>
      </c>
      <c r="E140" s="9" t="inlineStr">
        <is>
          <t>設備チェック「防犯カメラ」「内廊下」「24時間ゴミ出し可」「トランクルーム」「オール電化」：物件情報.md⑥の根拠付き候補から追加（ポータル・分譲時資料）</t>
        </is>
      </c>
    </row>
    <row r="141">
      <c r="A141" s="9" t="inlineStr">
        <is>
          <t>05</t>
        </is>
      </c>
      <c r="B141" s="9" t="inlineStr">
        <is>
          <t>レフィール南麻布</t>
        </is>
      </c>
      <c r="C141" s="9" t="inlineStr">
        <is>
          <t>3-4階</t>
        </is>
      </c>
      <c r="D141" s="9" t="inlineStr">
        <is>
          <t>数値（図面値で入力）</t>
        </is>
      </c>
      <c r="E141" s="9" t="inlineStr">
        <is>
          <t>【数値・図面値で入力】価格・専有面積・バルコニー・ルーフバルコニー・所在階・階建・総戸数・築年月・管理費・修繕積立金・その他費用・駐車場料金・駅徒歩分数はすべて図面 A-p10 の値で入力済み（変更なし）。おすすめコメントの「約52㎡」を図面値「52.54㎡」に修正</t>
        </is>
      </c>
    </row>
    <row r="142">
      <c r="A142" s="9" t="inlineStr">
        <is>
          <t>05</t>
        </is>
      </c>
      <c r="B142" s="9" t="inlineStr">
        <is>
          <t>レフィール南麻布</t>
        </is>
      </c>
      <c r="C142" s="9" t="inlineStr">
        <is>
          <t>3-4階</t>
        </is>
      </c>
      <c r="D142" s="9" t="inlineStr">
        <is>
          <t>数値（図面値で入力）</t>
        </is>
      </c>
      <c r="E142" s="9" t="inlineStr">
        <is>
          <t>【数値・図面値で入力】その他費用の内訳：図面値 ルーフバルコニー10,000円・トランクルーム5,300円で入力（他の値：トランクルーム10,000円・ルーフバルコニー5,300円＝リハウス・REALIA。合計17,855円は一致）</t>
        </is>
      </c>
    </row>
    <row r="143">
      <c r="A143" s="9" t="inlineStr">
        <is>
          <t>05</t>
        </is>
      </c>
      <c r="B143" s="9" t="inlineStr">
        <is>
          <t>レフィール南麻布</t>
        </is>
      </c>
      <c r="C143" s="9" t="inlineStr">
        <is>
          <t>3-4階</t>
        </is>
      </c>
      <c r="D143" s="9" t="inlineStr">
        <is>
          <t>数値（図面値で入力）</t>
        </is>
      </c>
      <c r="E143" s="9" t="inlineStr">
        <is>
          <t>【数値・図面値で入力】総戸数：図面値18戸で入力（他の値：19戸＝MR・DH・ノムコム・住まい1、店舗含む）</t>
        </is>
      </c>
    </row>
    <row r="144">
      <c r="A144" s="9" t="inlineStr">
        <is>
          <t>05</t>
        </is>
      </c>
      <c r="B144" s="9" t="inlineStr">
        <is>
          <t>レフィール南麻布</t>
        </is>
      </c>
      <c r="C144" s="9" t="inlineStr">
        <is>
          <t>3-4階</t>
        </is>
      </c>
      <c r="D144" s="9" t="inlineStr">
        <is>
          <t>数値（図面値で入力）</t>
        </is>
      </c>
      <c r="E144" s="9" t="inlineStr">
        <is>
          <t>【数値・図面値で入力】築年月：図面値2020年2月で入力（他の値：2020年1月＝KEN・ノムコム・クレア）</t>
        </is>
      </c>
    </row>
    <row r="145">
      <c r="A145" s="9" t="inlineStr">
        <is>
          <t>05</t>
        </is>
      </c>
      <c r="B145" s="9" t="inlineStr">
        <is>
          <t>レフィール南麻布</t>
        </is>
      </c>
      <c r="C145" s="9" t="inlineStr">
        <is>
          <t>3-4階</t>
        </is>
      </c>
      <c r="D145" s="9" t="inlineStr">
        <is>
          <t>数値（図面値で入力）</t>
        </is>
      </c>
      <c r="E145" s="9" t="inlineStr">
        <is>
          <t>【数値・図面値で入力】所在階：図面「3・4階部分」。所在階欄は3階で入力（他の値：4階＝REALIA）。21Cloud上の表示方法を確認</t>
        </is>
      </c>
    </row>
    <row r="146">
      <c r="A146" s="9" t="inlineStr">
        <is>
          <t>05</t>
        </is>
      </c>
      <c r="B146" s="9" t="inlineStr">
        <is>
          <t>レフィール南麻布</t>
        </is>
      </c>
      <c r="C146" s="9" t="inlineStr">
        <is>
          <t>3-4階</t>
        </is>
      </c>
      <c r="D146" s="9" t="inlineStr">
        <is>
          <t>数値（図面値で入力）</t>
        </is>
      </c>
      <c r="E146" s="9" t="inlineStr">
        <is>
          <t>【数値・図面値で入力】駐車場料金55,000〜65,000円（図面）の税込／税抜が不明（クレアは税抜表記）。空き1台はリハウス2026年8月20日時点</t>
        </is>
      </c>
    </row>
    <row r="147">
      <c r="A147" s="9" t="inlineStr">
        <is>
          <t>05</t>
        </is>
      </c>
      <c r="B147" s="9" t="inlineStr">
        <is>
          <t>レフィール南麻布</t>
        </is>
      </c>
      <c r="C147" s="9" t="inlineStr">
        <is>
          <t>3-4階</t>
        </is>
      </c>
      <c r="D147" s="9" t="inlineStr">
        <is>
          <t>数値（図面値で入力）</t>
        </is>
      </c>
      <c r="E147" s="9" t="inlineStr">
        <is>
          <t>【数値・図面値で入力】間取り内訳の帖数（LD約30.0帖・主寝室約21.0帖等）は図面に記載がなく、REALIA掲載のリフォーム後間取図の値</t>
        </is>
      </c>
    </row>
    <row r="148">
      <c r="A148" s="9" t="inlineStr">
        <is>
          <t>05</t>
        </is>
      </c>
      <c r="B148" s="9" t="inlineStr">
        <is>
          <t>レフィール南麻布</t>
        </is>
      </c>
      <c r="C148" s="9" t="inlineStr">
        <is>
          <t>3-4階</t>
        </is>
      </c>
      <c r="D148" s="9" t="inlineStr">
        <is>
          <t>文言</t>
        </is>
      </c>
      <c r="E148" s="9" t="inlineStr">
        <is>
          <t>【文言】許可済み画像が0枚：元付（アンビションDX）の自社HPに物件ページなし、図面 A-p10に物件写真なし。掲載写真はすべて要許可（分譲会社公式・KEN・リハウス・REALIA）。出稿前に元付経由で使用許可の取得が必要</t>
        </is>
      </c>
    </row>
    <row r="149">
      <c r="A149" s="9" t="inlineStr">
        <is>
          <t>05</t>
        </is>
      </c>
      <c r="B149" s="9" t="inlineStr">
        <is>
          <t>レフィール南麻布</t>
        </is>
      </c>
      <c r="C149" s="9" t="inlineStr">
        <is>
          <t>3-4階</t>
        </is>
      </c>
      <c r="D149" s="9" t="inlineStr">
        <is>
          <t>文言</t>
        </is>
      </c>
      <c r="E149" s="9" t="inlineStr">
        <is>
          <t>【文言】向き：主要採光 南・ルーフバルコニー 北（図面 A-p10）／北（リハウス・REALIA）→ 図面どおり南を入力</t>
        </is>
      </c>
    </row>
    <row r="150">
      <c r="A150" s="9" t="inlineStr">
        <is>
          <t>05</t>
        </is>
      </c>
      <c r="B150" s="9" t="inlineStr">
        <is>
          <t>レフィール南麻布</t>
        </is>
      </c>
      <c r="C150" s="9" t="inlineStr">
        <is>
          <t>3-4階</t>
        </is>
      </c>
      <c r="D150" s="9" t="inlineStr">
        <is>
          <t>文言</t>
        </is>
      </c>
      <c r="E150" s="9" t="inlineStr">
        <is>
          <t>【文言】間取り表記：3SLDK＋2WIC＋UT＋SIC（図面 A-p10）／3LDK＋S＋2WIC＋SIC（REALIA現行図）・3LDK＋2WIC＋WIP＋SIC＋U（マンションマーケット過去売出）→ 図面表記を入力</t>
        </is>
      </c>
    </row>
    <row r="151">
      <c r="A151" s="9" t="inlineStr">
        <is>
          <t>05</t>
        </is>
      </c>
      <c r="B151" s="9" t="inlineStr">
        <is>
          <t>レフィール南麻布</t>
        </is>
      </c>
      <c r="C151" s="9" t="inlineStr">
        <is>
          <t>3-4階</t>
        </is>
      </c>
      <c r="D151" s="9" t="inlineStr">
        <is>
          <t>文言</t>
        </is>
      </c>
      <c r="E151" s="9" t="inlineStr">
        <is>
          <t>【文言】管理形態：全部委託・日勤（住まい1・MR・SUUMO）／24時間管理・コンシェルジュ24時間（Plaza・ブログ）→ 日勤＋コンシェルジュあり。24時間有人とは書いていない</t>
        </is>
      </c>
    </row>
    <row r="152">
      <c r="A152" s="9" t="inlineStr">
        <is>
          <t>05</t>
        </is>
      </c>
      <c r="B152" s="9" t="inlineStr">
        <is>
          <t>レフィール南麻布</t>
        </is>
      </c>
      <c r="C152" s="9" t="inlineStr">
        <is>
          <t>3-4階</t>
        </is>
      </c>
      <c r="D152" s="9" t="inlineStr">
        <is>
          <t>文言</t>
        </is>
      </c>
      <c r="E152" s="9" t="inlineStr">
        <is>
          <t>【文言】小学校区：本村小学校（港区公式）／白金の丘小学校（クレア）→ 本村小学校。中学校区は未確認</t>
        </is>
      </c>
    </row>
    <row r="153">
      <c r="A153" s="9" t="inlineStr">
        <is>
          <t>05</t>
        </is>
      </c>
      <c r="B153" s="9" t="inlineStr">
        <is>
          <t>レフィール南麻布</t>
        </is>
      </c>
      <c r="C153" s="9" t="inlineStr">
        <is>
          <t>3-4階</t>
        </is>
      </c>
      <c r="D153" s="9" t="inlineStr">
        <is>
          <t>文言</t>
        </is>
      </c>
      <c r="E153" s="9" t="inlineStr">
        <is>
          <t>【文言】図面の「駐車可能な可能性が高い車種」一覧はChatGPT抜粋との注記あり。広告に車種名は載せていない</t>
        </is>
      </c>
    </row>
    <row r="154">
      <c r="A154" s="9" t="inlineStr">
        <is>
          <t>05</t>
        </is>
      </c>
      <c r="B154" s="9" t="inlineStr">
        <is>
          <t>レフィール南麻布</t>
        </is>
      </c>
      <c r="C154" s="9" t="inlineStr">
        <is>
          <t>3-4階</t>
        </is>
      </c>
      <c r="D154" s="9" t="inlineStr">
        <is>
          <t>文言</t>
        </is>
      </c>
      <c r="E154" s="9" t="inlineStr">
        <is>
          <t>【文言】図面の手数料欄（6％＝仲介手数料3％＋業務委託料3％）は掲載文に記載していない</t>
        </is>
      </c>
    </row>
    <row r="155">
      <c r="A155" s="9" t="inlineStr">
        <is>
          <t>05</t>
        </is>
      </c>
      <c r="B155" s="9" t="inlineStr">
        <is>
          <t>レフィール南麻布</t>
        </is>
      </c>
      <c r="C155" s="9" t="inlineStr">
        <is>
          <t>3-4階</t>
        </is>
      </c>
      <c r="D155" s="9" t="inlineStr">
        <is>
          <t>文言</t>
        </is>
      </c>
      <c r="E155" s="9" t="inlineStr">
        <is>
          <t>【文言】家具は7/14設置済だが価格に含まれない（REALIA写真注記）。写真の家具を含む表現にしていない</t>
        </is>
      </c>
    </row>
    <row r="156">
      <c r="A156" s="9" t="inlineStr">
        <is>
          <t>05</t>
        </is>
      </c>
      <c r="B156" s="9" t="inlineStr">
        <is>
          <t>レフィール南麻布</t>
        </is>
      </c>
      <c r="C156" s="9" t="inlineStr">
        <is>
          <t>3-4階</t>
        </is>
      </c>
      <c r="D156" s="9" t="inlineStr">
        <is>
          <t>文言</t>
        </is>
      </c>
      <c r="E156" s="9" t="inlineStr">
        <is>
          <t>【文言】専有面積の壁芯・内法の別は図面に記載なし</t>
        </is>
      </c>
    </row>
    <row r="157">
      <c r="A157" s="9" t="inlineStr">
        <is>
          <t>05</t>
        </is>
      </c>
      <c r="B157" s="9" t="inlineStr">
        <is>
          <t>レフィール南麻布</t>
        </is>
      </c>
      <c r="C157" s="9" t="inlineStr">
        <is>
          <t>3-4階</t>
        </is>
      </c>
      <c r="D157" s="9" t="inlineStr">
        <is>
          <t>文言</t>
        </is>
      </c>
      <c r="E157" s="9" t="inlineStr">
        <is>
          <t>【文言】`3-4階/_参考_リフォーム前/` の間取図3枚はリフォーム前の間取りのため images・pending のどちらにも入れていない</t>
        </is>
      </c>
    </row>
    <row r="158">
      <c r="A158" s="9" t="inlineStr">
        <is>
          <t>05</t>
        </is>
      </c>
      <c r="B158" s="9" t="inlineStr">
        <is>
          <t>レフィール南麻布</t>
        </is>
      </c>
      <c r="C158" s="9" t="inlineStr">
        <is>
          <t>3-4階</t>
        </is>
      </c>
      <c r="D158" s="9" t="inlineStr">
        <is>
          <t>文言</t>
        </is>
      </c>
      <c r="E158" s="9" t="inlineStr">
        <is>
          <t>【文言】「最上階」は図面「地上4階建」「3・4階部分」に基づき「最上階の4階を含む」と表記</t>
        </is>
      </c>
    </row>
    <row r="159">
      <c r="A159" s="9" t="inlineStr">
        <is>
          <t>05</t>
        </is>
      </c>
      <c r="B159" s="9" t="inlineStr">
        <is>
          <t>レフィール南麻布</t>
        </is>
      </c>
      <c r="C159" s="9" t="inlineStr">
        <is>
          <t>3-4階</t>
        </is>
      </c>
      <c r="D159" s="9" t="inlineStr">
        <is>
          <t>文言</t>
        </is>
      </c>
      <c r="E159" s="9" t="inlineStr">
        <is>
          <t>【文言】浴室2か所・トイレ3か所はREALIA掲載の間取図・写真に基づく（図面に記載なし）</t>
        </is>
      </c>
    </row>
    <row r="160">
      <c r="A160" s="9" t="inlineStr">
        <is>
          <t>05</t>
        </is>
      </c>
      <c r="B160" s="9" t="inlineStr">
        <is>
          <t>レフィール南麻布</t>
        </is>
      </c>
      <c r="C160" s="9" t="inlineStr">
        <is>
          <t>3-4階</t>
        </is>
      </c>
      <c r="D160" s="9" t="inlineStr">
        <is>
          <t>推測入力</t>
        </is>
      </c>
      <c r="E160" s="9" t="inlineStr">
        <is>
          <t>設備チェック「エレベーター」「宅配ボックス」「24時間ゴミ出し可」「吹抜」「トイレ2か所以上・バス2か所」：物件情報.md①⑦のポータル記載・写真から</t>
        </is>
      </c>
    </row>
    <row r="161">
      <c r="A161" s="9" t="inlineStr">
        <is>
          <t>05</t>
        </is>
      </c>
      <c r="B161" s="9" t="inlineStr">
        <is>
          <t>レフィール南麻布</t>
        </is>
      </c>
      <c r="C161" s="9" t="inlineStr">
        <is>
          <t>3-4階</t>
        </is>
      </c>
      <c r="D161" s="9" t="inlineStr">
        <is>
          <t>推測入力</t>
        </is>
      </c>
      <c r="E161" s="9" t="inlineStr">
        <is>
          <t>所在階を「3」で入力：メゾネットの下階（図面「3・4階部分」）</t>
        </is>
      </c>
    </row>
    <row r="162">
      <c r="A162" s="9" t="inlineStr">
        <is>
          <t>05</t>
        </is>
      </c>
      <c r="B162" s="9" t="inlineStr">
        <is>
          <t>レフィール南麻布</t>
        </is>
      </c>
      <c r="C162" s="9" t="inlineStr">
        <is>
          <t>3-4階</t>
        </is>
      </c>
      <c r="D162" s="9" t="inlineStr">
        <is>
          <t>推測入力</t>
        </is>
      </c>
      <c r="E162" s="9" t="inlineStr">
        <is>
          <t>角部屋「中住戸」：新築時記事（物件情報.md④）から</t>
        </is>
      </c>
    </row>
    <row r="163">
      <c r="A163" s="9" t="inlineStr">
        <is>
          <t>05</t>
        </is>
      </c>
      <c r="B163" s="9" t="inlineStr">
        <is>
          <t>レフィール南麻布</t>
        </is>
      </c>
      <c r="C163" s="9" t="inlineStr">
        <is>
          <t>3-4階</t>
        </is>
      </c>
      <c r="D163" s="9" t="inlineStr">
        <is>
          <t>推測入力</t>
        </is>
      </c>
      <c r="E163" s="9" t="inlineStr">
        <is>
          <t>画像カテゴリ：リビング・ダイニング写真はリビング（4）、主寝室内WICは収納（12）、玄関前ホールはその他内観（38）、オートロック操作盤・宅配ボックス・ペット足洗い場はその他共用部分（19）とした</t>
        </is>
      </c>
    </row>
    <row r="164">
      <c r="A164" s="9" t="inlineStr">
        <is>
          <t>05</t>
        </is>
      </c>
      <c r="B164" s="9" t="inlineStr">
        <is>
          <t>レフィール南麻布</t>
        </is>
      </c>
      <c r="C164" s="9" t="inlineStr">
        <is>
          <t>3-4階</t>
        </is>
      </c>
      <c r="D164" s="9" t="inlineStr">
        <is>
          <t>推測入力</t>
        </is>
      </c>
      <c r="E164" s="9" t="inlineStr">
        <is>
          <t>コメント中の「静かな住宅街」「大使館が点在する高台」の表現は物件情報.md①（新築時記事・国土地理院標高）をもとにした言い換え</t>
        </is>
      </c>
    </row>
    <row r="165">
      <c r="A165" s="9" t="inlineStr">
        <is>
          <t>05</t>
        </is>
      </c>
      <c r="B165" s="9" t="inlineStr">
        <is>
          <t>レフィール南麻布</t>
        </is>
      </c>
      <c r="C165" s="9" t="inlineStr">
        <is>
          <t>3-4階</t>
        </is>
      </c>
      <c r="D165" s="9" t="inlineStr">
        <is>
          <t>推測入力</t>
        </is>
      </c>
      <c r="E165" s="9" t="inlineStr">
        <is>
          <t>設備チェック「ペット足洗い場（共用）」：KEN掲載写真（物件情報.md⑦）から追加</t>
        </is>
      </c>
    </row>
    <row r="166">
      <c r="A166" s="9" t="inlineStr">
        <is>
          <t>05</t>
        </is>
      </c>
      <c r="B166" s="9" t="inlineStr">
        <is>
          <t>レフィール南麻布</t>
        </is>
      </c>
      <c r="C166" s="9" t="inlineStr">
        <is>
          <t>3-4階</t>
        </is>
      </c>
      <c r="D166" s="9" t="inlineStr">
        <is>
          <t>推測入力</t>
        </is>
      </c>
      <c r="E166" s="9" t="inlineStr">
        <is>
          <t>設備チェック「ペット足洗い場（共用）」：KEN掲載写真（物件情報.md⑦）から追加</t>
        </is>
      </c>
    </row>
    <row r="167">
      <c r="A167" s="9" t="inlineStr">
        <is>
          <t>06</t>
        </is>
      </c>
      <c r="B167" s="9" t="inlineStr">
        <is>
          <t>アークヒルズ仙石山レジデンス</t>
        </is>
      </c>
      <c r="C167" s="9" t="inlineStr">
        <is>
          <t>18階</t>
        </is>
      </c>
      <c r="D167" s="9" t="inlineStr">
        <is>
          <t>数値（図面値で入力）</t>
        </is>
      </c>
      <c r="E167" s="9" t="inlineStr">
        <is>
          <t>【数値・図面値で入力】元付図面が2枚（A-p11 ハウジング・ジャパン／A-p12 三井不動産リアルティ）あり、いずれも本住戸（18階）の媒介図面。価格・専有面積・バルコニー・所在階・階建・総戸数・築年月・管理費・修繕積立金・月額合計は2枚一致。食い違う項目は写真の出典でもある元付HJの A-p11 を基本とし、A-p11が誤記・旧情報の項目のみ A-p12 を採用（各項目を下記に記載）</t>
        </is>
      </c>
    </row>
    <row r="168">
      <c r="A168" s="9" t="inlineStr">
        <is>
          <t>06</t>
        </is>
      </c>
      <c r="B168" s="9" t="inlineStr">
        <is>
          <t>アークヒルズ仙石山レジデンス</t>
        </is>
      </c>
      <c r="C168" s="9" t="inlineStr">
        <is>
          <t>18階</t>
        </is>
      </c>
      <c r="D168" s="9" t="inlineStr">
        <is>
          <t>数値（図面値で入力）</t>
        </is>
      </c>
      <c r="E168" s="9" t="inlineStr">
        <is>
          <t>【数値・図面値で入力】構造：図面値 SRC造（鉄骨鉄筋コンクリート造、A-p11・A-p12一致）に修正して入力（他の値：鉄筋コンクリート造一部鉄骨造＝森ビル公式・三井賃貸・HJ・MR）。Yahoo概要も図面値に修正</t>
        </is>
      </c>
    </row>
    <row r="169">
      <c r="A169" s="9" t="inlineStr">
        <is>
          <t>06</t>
        </is>
      </c>
      <c r="B169" s="9" t="inlineStr">
        <is>
          <t>アークヒルズ仙石山レジデンス</t>
        </is>
      </c>
      <c r="C169" s="9" t="inlineStr">
        <is>
          <t>18階</t>
        </is>
      </c>
      <c r="D169" s="9" t="inlineStr">
        <is>
          <t>数値（図面値で入力）</t>
        </is>
      </c>
      <c r="E169" s="9" t="inlineStr">
        <is>
          <t>【数値・図面値で入力】駐車場料金：A-p12の値（中型ハイルーフ55,000円・中型ノーマル50,000円、令和8年8月24日現在）を採用（他の値：44,000〜49,500円＝A-p11、44,000〜100,000円＝HJサイト）。日付の明記があるため。管理会社（森ビル）で現行料金を確認</t>
        </is>
      </c>
    </row>
    <row r="170">
      <c r="A170" s="9" t="inlineStr">
        <is>
          <t>06</t>
        </is>
      </c>
      <c r="B170" s="9" t="inlineStr">
        <is>
          <t>アークヒルズ仙石山レジデンス</t>
        </is>
      </c>
      <c r="C170" s="9" t="inlineStr">
        <is>
          <t>18階</t>
        </is>
      </c>
      <c r="D170" s="9" t="inlineStr">
        <is>
          <t>数値（図面値で入力）</t>
        </is>
      </c>
      <c r="E170" s="9" t="inlineStr">
        <is>
          <t>【数値・図面値で入力】敷地面積：A-p12の値15,367.75㎡を採用（他の値：15,367.5㎡・約719.20坪＝A-p11。坪数が㎡と整合しない誤記のため。森ビル公式も15,367.75㎡）</t>
        </is>
      </c>
    </row>
    <row r="171">
      <c r="A171" s="9" t="inlineStr">
        <is>
          <t>06</t>
        </is>
      </c>
      <c r="B171" s="9" t="inlineStr">
        <is>
          <t>アークヒルズ仙石山レジデンス</t>
        </is>
      </c>
      <c r="C171" s="9" t="inlineStr">
        <is>
          <t>18階</t>
        </is>
      </c>
      <c r="D171" s="9" t="inlineStr">
        <is>
          <t>数値（図面値で入力）</t>
        </is>
      </c>
      <c r="E171" s="9" t="inlineStr">
        <is>
          <t>【数値・図面値で入力】溜池山王駅：A-p11の値 徒歩10分で入力（他の値：徒歩15分＝HJサイト。A-p12は記載なし）</t>
        </is>
      </c>
    </row>
    <row r="172">
      <c r="A172" s="9" t="inlineStr">
        <is>
          <t>06</t>
        </is>
      </c>
      <c r="B172" s="9" t="inlineStr">
        <is>
          <t>アークヒルズ仙石山レジデンス</t>
        </is>
      </c>
      <c r="C172" s="9" t="inlineStr">
        <is>
          <t>18階</t>
        </is>
      </c>
      <c r="D172" s="9" t="inlineStr">
        <is>
          <t>数値（図面値で入力）</t>
        </is>
      </c>
      <c r="E172" s="9" t="inlineStr">
        <is>
          <t>【数値・図面値で入力】交通分数：図面値 六本木一丁目4分・神谷町6分で入力（他の値：六本木一丁目3番出口6分・神谷町5番出口5分＝森ビル公式、5分・7分＝三井賃貸）</t>
        </is>
      </c>
    </row>
    <row r="173">
      <c r="A173" s="9" t="inlineStr">
        <is>
          <t>06</t>
        </is>
      </c>
      <c r="B173" s="9" t="inlineStr">
        <is>
          <t>アークヒルズ仙石山レジデンス</t>
        </is>
      </c>
      <c r="C173" s="9" t="inlineStr">
        <is>
          <t>18階</t>
        </is>
      </c>
      <c r="D173" s="9" t="inlineStr">
        <is>
          <t>数値（図面値で入力）</t>
        </is>
      </c>
      <c r="E173" s="9" t="inlineStr">
        <is>
          <t>【数値・図面値で入力】管理費：図面値134,830円で入力（他の値：125,780円＝HJサイト、項目入替表示）</t>
        </is>
      </c>
    </row>
    <row r="174">
      <c r="A174" s="9" t="inlineStr">
        <is>
          <t>06</t>
        </is>
      </c>
      <c r="B174" s="9" t="inlineStr">
        <is>
          <t>アークヒルズ仙石山レジデンス</t>
        </is>
      </c>
      <c r="C174" s="9" t="inlineStr">
        <is>
          <t>18階</t>
        </is>
      </c>
      <c r="D174" s="9" t="inlineStr">
        <is>
          <t>数値（図面値で入力）</t>
        </is>
      </c>
      <c r="E174" s="9" t="inlineStr">
        <is>
          <t>【数値・図面値で入力】階数：図面値 地上47階・地下4階で入力（他の値：地上48階＝都環境局2017年）</t>
        </is>
      </c>
    </row>
    <row r="175">
      <c r="A175" s="9" t="inlineStr">
        <is>
          <t>06</t>
        </is>
      </c>
      <c r="B175" s="9" t="inlineStr">
        <is>
          <t>アークヒルズ仙石山レジデンス</t>
        </is>
      </c>
      <c r="C175" s="9" t="inlineStr">
        <is>
          <t>18階</t>
        </is>
      </c>
      <c r="D175" s="9" t="inlineStr">
        <is>
          <t>数値（図面値で入力）</t>
        </is>
      </c>
      <c r="E175" s="9" t="inlineStr">
        <is>
          <t>【数値・図面値で入力】総戸数：図面値243戸で入力（他の値：276戸＝三井のリハウス ライブラリー・MR、別棟含むとみられる）</t>
        </is>
      </c>
    </row>
    <row r="176">
      <c r="A176" s="9" t="inlineStr">
        <is>
          <t>06</t>
        </is>
      </c>
      <c r="B176" s="9" t="inlineStr">
        <is>
          <t>アークヒルズ仙石山レジデンス</t>
        </is>
      </c>
      <c r="C176" s="9" t="inlineStr">
        <is>
          <t>18階</t>
        </is>
      </c>
      <c r="D176" s="9" t="inlineStr">
        <is>
          <t>数値（図面値で入力）</t>
        </is>
      </c>
      <c r="E176" s="9" t="inlineStr">
        <is>
          <t>【数値・図面値で入力】専有面積：図面値210.31㎡（壁芯）で入力（他の値：210.30sqm＝HJ英文本文）</t>
        </is>
      </c>
    </row>
    <row r="177">
      <c r="A177" s="9" t="inlineStr">
        <is>
          <t>06</t>
        </is>
      </c>
      <c r="B177" s="9" t="inlineStr">
        <is>
          <t>アークヒルズ仙石山レジデンス</t>
        </is>
      </c>
      <c r="C177" s="9" t="inlineStr">
        <is>
          <t>18階</t>
        </is>
      </c>
      <c r="D177" s="9" t="inlineStr">
        <is>
          <t>文言</t>
        </is>
      </c>
      <c r="E177" s="9" t="inlineStr">
        <is>
          <t>【文言】所在地：六本木1-9-18（A-p11 HJ・森ビル公式）／六本木1丁目9-10（A-p12 三井＝複合棟全体の所在）→ A-p11の9-18を入力</t>
        </is>
      </c>
    </row>
    <row r="178">
      <c r="A178" s="9" t="inlineStr">
        <is>
          <t>06</t>
        </is>
      </c>
      <c r="B178" s="9" t="inlineStr">
        <is>
          <t>アークヒルズ仙石山レジデンス</t>
        </is>
      </c>
      <c r="C178" s="9" t="inlineStr">
        <is>
          <t>18階</t>
        </is>
      </c>
      <c r="D178" s="9" t="inlineStr">
        <is>
          <t>文言</t>
        </is>
      </c>
      <c r="E178" s="9" t="inlineStr">
        <is>
          <t>【文言】耐震・制震：「耐震構造」採用（A-p12）／制震（ブレーキダンパー・粘性体制震壁＝森ビル公式）→ 一部コメントで「制震装置を採用」と記載（制震は耐震と矛盾しない）。気になる場合は該当文を削除</t>
        </is>
      </c>
    </row>
    <row r="179">
      <c r="A179" s="9" t="inlineStr">
        <is>
          <t>06</t>
        </is>
      </c>
      <c r="B179" s="9" t="inlineStr">
        <is>
          <t>アークヒルズ仙石山レジデンス</t>
        </is>
      </c>
      <c r="C179" s="9" t="inlineStr">
        <is>
          <t>18階</t>
        </is>
      </c>
      <c r="D179" s="9" t="inlineStr">
        <is>
          <t>文言</t>
        </is>
      </c>
      <c r="E179" s="9" t="inlineStr">
        <is>
          <t>【文言】コンロ種別：「●ＩＨ」（A-p11テキスト）／ガスコンロ（HJ掲載キッチン写真・CreaVision設備欄）→ 設備チェック・コメントともコンロ種別は入れていない（画像コメントは「5口のコンロ」とのみ記載）。元付に確認</t>
        </is>
      </c>
    </row>
    <row r="180">
      <c r="A180" s="9" t="inlineStr">
        <is>
          <t>06</t>
        </is>
      </c>
      <c r="B180" s="9" t="inlineStr">
        <is>
          <t>アークヒルズ仙石山レジデンス</t>
        </is>
      </c>
      <c r="C180" s="9" t="inlineStr">
        <is>
          <t>18階</t>
        </is>
      </c>
      <c r="D180" s="9" t="inlineStr">
        <is>
          <t>文言</t>
        </is>
      </c>
      <c r="E180" s="9" t="inlineStr">
        <is>
          <t>【文言】ポーター／ドアマン：ポーターサービス（A-p11）／ドアマン（森ビル公式）→ コメントでは記載を控えた</t>
        </is>
      </c>
    </row>
    <row r="181">
      <c r="A181" s="9" t="inlineStr">
        <is>
          <t>06</t>
        </is>
      </c>
      <c r="B181" s="9" t="inlineStr">
        <is>
          <t>アークヒルズ仙石山レジデンス</t>
        </is>
      </c>
      <c r="C181" s="9" t="inlineStr">
        <is>
          <t>18階</t>
        </is>
      </c>
      <c r="D181" s="9" t="inlineStr">
        <is>
          <t>文言</t>
        </is>
      </c>
      <c r="E181" s="9" t="inlineStr">
        <is>
          <t>【文言】A-p11の「手数料0.5％（税込）出し」表記は掲載文に記載していない</t>
        </is>
      </c>
    </row>
    <row r="182">
      <c r="A182" s="9" t="inlineStr">
        <is>
          <t>06</t>
        </is>
      </c>
      <c r="B182" s="9" t="inlineStr">
        <is>
          <t>アークヒルズ仙石山レジデンス</t>
        </is>
      </c>
      <c r="C182" s="9" t="inlineStr">
        <is>
          <t>18階</t>
        </is>
      </c>
      <c r="D182" s="9" t="inlineStr">
        <is>
          <t>文言</t>
        </is>
      </c>
      <c r="E182" s="9" t="inlineStr">
        <is>
          <t>【文言】バルコニー使用料・リフォーム履歴・室内設備メーカーは図面に記載なし（未確認）</t>
        </is>
      </c>
    </row>
    <row r="183">
      <c r="A183" s="9" t="inlineStr">
        <is>
          <t>06</t>
        </is>
      </c>
      <c r="B183" s="9" t="inlineStr">
        <is>
          <t>アークヒルズ仙石山レジデンス</t>
        </is>
      </c>
      <c r="C183" s="9" t="inlineStr">
        <is>
          <t>18階</t>
        </is>
      </c>
      <c r="D183" s="9" t="inlineStr">
        <is>
          <t>文言</t>
        </is>
      </c>
      <c r="E183" s="9" t="inlineStr">
        <is>
          <t>【文言】トイレの写真なし（HJ・図面とも未掲載）</t>
        </is>
      </c>
    </row>
    <row r="184">
      <c r="A184" s="9" t="inlineStr">
        <is>
          <t>06</t>
        </is>
      </c>
      <c r="B184" s="9" t="inlineStr">
        <is>
          <t>アークヒルズ仙石山レジデンス</t>
        </is>
      </c>
      <c r="C184" s="9" t="inlineStr">
        <is>
          <t>18階</t>
        </is>
      </c>
      <c r="D184" s="9" t="inlineStr">
        <is>
          <t>推測入力</t>
        </is>
      </c>
      <c r="E184" s="9" t="inlineStr">
        <is>
          <t>設備チェック「宅配ボックス」「オートロック」：物件情報.md①（森ビル公式・三井賃貸）の記載から</t>
        </is>
      </c>
    </row>
    <row r="185">
      <c r="A185" s="9" t="inlineStr">
        <is>
          <t>06</t>
        </is>
      </c>
      <c r="B185" s="9" t="inlineStr">
        <is>
          <t>アークヒルズ仙石山レジデンス</t>
        </is>
      </c>
      <c r="C185" s="9" t="inlineStr">
        <is>
          <t>18階</t>
        </is>
      </c>
      <c r="D185" s="9" t="inlineStr">
        <is>
          <t>推測入力</t>
        </is>
      </c>
      <c r="E185" s="9" t="inlineStr">
        <is>
          <t>画像カテゴリ：写真11〜19は間取図の各居室のどれかを特定できないため、主寝室と断定せず「洋室」（21）とした</t>
        </is>
      </c>
    </row>
    <row r="186">
      <c r="A186" s="9" t="inlineStr">
        <is>
          <t>06</t>
        </is>
      </c>
      <c r="B186" s="9" t="inlineStr">
        <is>
          <t>アークヒルズ仙石山レジデンス</t>
        </is>
      </c>
      <c r="C186" s="9" t="inlineStr">
        <is>
          <t>18階</t>
        </is>
      </c>
      <c r="D186" s="9" t="inlineStr">
        <is>
          <t>推測入力</t>
        </is>
      </c>
      <c r="E186" s="9" t="inlineStr">
        <is>
          <t>画像 02_眺望.jpg のコメント「麻布台ヒルズの緑」：写真右下の緑化屋根の低層建物を麻布台ヒルズと判断（隣接地）</t>
        </is>
      </c>
    </row>
    <row r="187">
      <c r="A187" s="9" t="inlineStr">
        <is>
          <t>06</t>
        </is>
      </c>
      <c r="B187" s="9" t="inlineStr">
        <is>
          <t>アークヒルズ仙石山レジデンス</t>
        </is>
      </c>
      <c r="C187" s="9" t="inlineStr">
        <is>
          <t>18階</t>
        </is>
      </c>
      <c r="D187" s="9" t="inlineStr">
        <is>
          <t>推測入力</t>
        </is>
      </c>
      <c r="E187" s="9" t="inlineStr">
        <is>
          <t>画像 共用部/07・08_ラウンジ：施設名の記載がなく、25階ビューラウンジかは断定せず「ラウンジ」と記載</t>
        </is>
      </c>
    </row>
    <row r="188">
      <c r="A188" s="9" t="inlineStr">
        <is>
          <t>06</t>
        </is>
      </c>
      <c r="B188" s="9" t="inlineStr">
        <is>
          <t>アークヒルズ仙石山レジデンス</t>
        </is>
      </c>
      <c r="C188" s="9" t="inlineStr">
        <is>
          <t>18階</t>
        </is>
      </c>
      <c r="D188" s="9" t="inlineStr">
        <is>
          <t>推測入力</t>
        </is>
      </c>
      <c r="E188" s="9" t="inlineStr">
        <is>
          <t>コメント中の「2つのヒルズを生活圏に」等の表現は物件情報.md③（森ビル公式）をもとにした言い換え</t>
        </is>
      </c>
    </row>
    <row r="189">
      <c r="A189" s="9" t="inlineStr">
        <is>
          <t>06</t>
        </is>
      </c>
      <c r="B189" s="9" t="inlineStr">
        <is>
          <t>アークヒルズ仙石山レジデンス</t>
        </is>
      </c>
      <c r="C189" s="9" t="inlineStr">
        <is>
          <t>18階</t>
        </is>
      </c>
      <c r="D189" s="9" t="inlineStr">
        <is>
          <t>推測入力</t>
        </is>
      </c>
      <c r="E189" s="9" t="inlineStr">
        <is>
          <t>設備チェック「防犯カメラ」「システムキッチン」「駐輪場・バイク置場」「ペット足洗い場（共用）」：物件情報.md①⑥の根拠付き候補から追加</t>
        </is>
      </c>
    </row>
    <row r="190">
      <c r="A190" s="9" t="inlineStr">
        <is>
          <t>06</t>
        </is>
      </c>
      <c r="B190" s="9" t="inlineStr">
        <is>
          <t>アークヒルズ仙石山レジデンス</t>
        </is>
      </c>
      <c r="C190" s="9" t="inlineStr">
        <is>
          <t>18階</t>
        </is>
      </c>
      <c r="D190" s="9" t="inlineStr">
        <is>
          <t>推測入力</t>
        </is>
      </c>
      <c r="E190" s="9" t="inlineStr">
        <is>
          <t>画像 01_外観.jpg の中央の塔を本物件（アークヒルズ仙石山森タワー）と判断：上層部の形状と元付HJ掲載写真であることから</t>
        </is>
      </c>
    </row>
    <row r="191">
      <c r="A191" s="9" t="inlineStr">
        <is>
          <t>06</t>
        </is>
      </c>
      <c r="B191" s="9" t="inlineStr">
        <is>
          <t>アークヒルズ仙石山レジデンス</t>
        </is>
      </c>
      <c r="C191" s="9" t="inlineStr">
        <is>
          <t>18階</t>
        </is>
      </c>
      <c r="D191" s="9" t="inlineStr">
        <is>
          <t>推測入力</t>
        </is>
      </c>
      <c r="E191" s="9" t="inlineStr">
        <is>
          <t>設備チェック「防犯カメラ」「システムキッチン」「駐輪場・バイク置場」「ペット足洗い場（共用）」：物件情報.md①⑥の根拠付き候補から追加</t>
        </is>
      </c>
    </row>
    <row r="192">
      <c r="A192" s="9" t="inlineStr">
        <is>
          <t>06</t>
        </is>
      </c>
      <c r="B192" s="9" t="inlineStr">
        <is>
          <t>アークヒルズ仙石山レジデンス</t>
        </is>
      </c>
      <c r="C192" s="9" t="inlineStr">
        <is>
          <t>18階</t>
        </is>
      </c>
      <c r="D192" s="9" t="inlineStr">
        <is>
          <t>推測入力</t>
        </is>
      </c>
      <c r="E192" s="9" t="inlineStr">
        <is>
          <t>画像 01_外観.jpg の中央の塔を本物件（アークヒルズ仙石山森タワー）と判断：上層部の形状と元付HJ掲載写真であることから</t>
        </is>
      </c>
    </row>
    <row r="193">
      <c r="A193" s="9" t="inlineStr">
        <is>
          <t>06</t>
        </is>
      </c>
      <c r="B193" s="9" t="inlineStr">
        <is>
          <t>アークヒルズ仙石山レジデンス</t>
        </is>
      </c>
      <c r="C193" s="9" t="inlineStr">
        <is>
          <t>18階</t>
        </is>
      </c>
      <c r="D193" s="9" t="inlineStr">
        <is>
          <t>推測入力</t>
        </is>
      </c>
      <c r="E193" s="9" t="inlineStr">
        <is>
          <t>設備チェック「防犯カメラ」「システムキッチン」「駐輪場・バイク置場」「ペット足洗い場（共用）」：物件情報.md①⑥の根拠付き候補から追加</t>
        </is>
      </c>
    </row>
    <row r="194">
      <c r="A194" s="9" t="inlineStr">
        <is>
          <t>06</t>
        </is>
      </c>
      <c r="B194" s="9" t="inlineStr">
        <is>
          <t>アークヒルズ仙石山レジデンス</t>
        </is>
      </c>
      <c r="C194" s="9" t="inlineStr">
        <is>
          <t>18階</t>
        </is>
      </c>
      <c r="D194" s="9" t="inlineStr">
        <is>
          <t>推測入力</t>
        </is>
      </c>
      <c r="E194" s="9" t="inlineStr">
        <is>
          <t>画像 01_外観.jpg の中央の塔を本物件（アークヒルズ仙石山森タワー）と判断：上層部の形状と元付HJ掲載写真であることから</t>
        </is>
      </c>
    </row>
    <row r="195">
      <c r="A195" s="9" t="inlineStr">
        <is>
          <t>07</t>
        </is>
      </c>
      <c r="B195" s="9" t="inlineStr">
        <is>
          <t>元麻布ヒルズフォレストタワー</t>
        </is>
      </c>
      <c r="C195" s="9" t="inlineStr">
        <is>
          <t>24階</t>
        </is>
      </c>
      <c r="D195" s="9" t="inlineStr">
        <is>
          <t>数値（図面値で入力）</t>
        </is>
      </c>
      <c r="E195" s="9" t="inlineStr">
        <is>
          <t>【数値・図面値で入力】交通 麻布十番駅：図面値で入力（他の値：徒歩8分＝MORI LIVING 概要〈7番出口〉）。basic・全コメントとも徒歩7分</t>
        </is>
      </c>
    </row>
    <row r="196">
      <c r="A196" s="9" t="inlineStr">
        <is>
          <t>07</t>
        </is>
      </c>
      <c r="B196" s="9" t="inlineStr">
        <is>
          <t>元麻布ヒルズフォレストタワー</t>
        </is>
      </c>
      <c r="C196" s="9" t="inlineStr">
        <is>
          <t>24階</t>
        </is>
      </c>
      <c r="D196" s="9" t="inlineStr">
        <is>
          <t>数値（図面値で入力）</t>
        </is>
      </c>
      <c r="E196" s="9" t="inlineStr">
        <is>
          <t>【数値・図面値で入力】総戸数：図面値で入力（他の値：180戸＝MORI LIVING 概要〈フォレストタワー棟のみ〉）。図面の222戸は元麻布ヒルズ3棟合計のため、コメントでは「元麻布ヒルズ全222戸」「総戸数222戸（元麻布ヒルズ全体）」と表記</t>
        </is>
      </c>
    </row>
    <row r="197">
      <c r="A197" s="9" t="inlineStr">
        <is>
          <t>07</t>
        </is>
      </c>
      <c r="B197" s="9" t="inlineStr">
        <is>
          <t>元麻布ヒルズフォレストタワー</t>
        </is>
      </c>
      <c r="C197" s="9" t="inlineStr">
        <is>
          <t>24階</t>
        </is>
      </c>
      <c r="D197" s="9" t="inlineStr">
        <is>
          <t>数値（図面値で入力）</t>
        </is>
      </c>
      <c r="E197" s="9" t="inlineStr">
        <is>
          <t>【数値・図面値で入力】地下階数：図面値で入力（他の値：地下3階＝森ビル公式・MORI LIVING）</t>
        </is>
      </c>
    </row>
    <row r="198">
      <c r="A198" s="9" t="inlineStr">
        <is>
          <t>07</t>
        </is>
      </c>
      <c r="B198" s="9" t="inlineStr">
        <is>
          <t>元麻布ヒルズフォレストタワー</t>
        </is>
      </c>
      <c r="C198" s="9" t="inlineStr">
        <is>
          <t>24階</t>
        </is>
      </c>
      <c r="D198" s="9" t="inlineStr">
        <is>
          <t>数値（図面値で入力）</t>
        </is>
      </c>
      <c r="E198" s="9" t="inlineStr">
        <is>
          <t>【数値・図面値で入力】敷地面積：図面値12,119.65㎡で入力（他の値：12,308.92㎡＝MORI LIVING／12,309㎡＝森ビル公式／12,380.37㎡実測＝同敷地のA-p14）。登記簿（敷地権の表示）で要確認</t>
        </is>
      </c>
    </row>
    <row r="199">
      <c r="A199" s="9" t="inlineStr">
        <is>
          <t>07</t>
        </is>
      </c>
      <c r="B199" s="9" t="inlineStr">
        <is>
          <t>元麻布ヒルズフォレストタワー</t>
        </is>
      </c>
      <c r="C199" s="9" t="inlineStr">
        <is>
          <t>24階</t>
        </is>
      </c>
      <c r="D199" s="9" t="inlineStr">
        <is>
          <t>数値（図面値で入力）</t>
        </is>
      </c>
      <c r="E199" s="9" t="inlineStr">
        <is>
          <t>【数値・図面値で入力】築年月：図面の西暦値2002年5月で入力（他の値：図面の和暦「平成24年」は誤記、正しくは平成14年＝森ビル公式）。和暦を使う欄は平成14年</t>
        </is>
      </c>
    </row>
    <row r="200">
      <c r="A200" s="9" t="inlineStr">
        <is>
          <t>07</t>
        </is>
      </c>
      <c r="B200" s="9" t="inlineStr">
        <is>
          <t>元麻布ヒルズフォレストタワー</t>
        </is>
      </c>
      <c r="C200" s="9" t="inlineStr">
        <is>
          <t>24階</t>
        </is>
      </c>
      <c r="D200" s="9" t="inlineStr">
        <is>
          <t>数値（図面値で入力）</t>
        </is>
      </c>
      <c r="E200" s="9" t="inlineStr">
        <is>
          <t>【数値・図面値で入力】駐輪場：図面「無（550〜1,100円）」の料金を入力（他の値：駐輪場あり＝MORI LIVING 施設一覧）。有無の表記が矛盾しているため料金・空きを元付に確認</t>
        </is>
      </c>
    </row>
    <row r="201">
      <c r="A201" s="9" t="inlineStr">
        <is>
          <t>07</t>
        </is>
      </c>
      <c r="B201" s="9" t="inlineStr">
        <is>
          <t>元麻布ヒルズフォレストタワー</t>
        </is>
      </c>
      <c r="C201" s="9" t="inlineStr">
        <is>
          <t>24階</t>
        </is>
      </c>
      <c r="D201" s="9" t="inlineStr">
        <is>
          <t>数値（図面値で入力）</t>
        </is>
      </c>
      <c r="E201" s="9" t="inlineStr">
        <is>
          <t>【数値・図面値で入力】用途地域：図面値（第一種中高層住居専用地域）で入力（他の値：第二種中高層住居専用地域＝同敷地のテラスイースト図面 A-p14）</t>
        </is>
      </c>
    </row>
    <row r="202">
      <c r="A202" s="9" t="inlineStr">
        <is>
          <t>07</t>
        </is>
      </c>
      <c r="B202" s="9" t="inlineStr">
        <is>
          <t>元麻布ヒルズフォレストタワー</t>
        </is>
      </c>
      <c r="C202" s="9" t="inlineStr">
        <is>
          <t>24階</t>
        </is>
      </c>
      <c r="D202" s="9" t="inlineStr">
        <is>
          <t>文言</t>
        </is>
      </c>
      <c r="E202" s="9" t="inlineStr">
        <is>
          <t>【文言】階と面積の組み合わせ：HOME'S建物アーカイブでは198.64㎡住戸は23階（北東）のみ記録、24階は193.18㎡・153.41㎡・153.5㎡。図面の「24階・198.64㎡」を元付に確認（物件情報.md⑦補足）</t>
        </is>
      </c>
    </row>
    <row r="203">
      <c r="A203" s="9" t="inlineStr">
        <is>
          <t>07</t>
        </is>
      </c>
      <c r="B203" s="9" t="inlineStr">
        <is>
          <t>元麻布ヒルズフォレストタワー</t>
        </is>
      </c>
      <c r="C203" s="9" t="inlineStr">
        <is>
          <t>24階</t>
        </is>
      </c>
      <c r="D203" s="9" t="inlineStr">
        <is>
          <t>文言</t>
        </is>
      </c>
      <c r="E203" s="9" t="inlineStr">
        <is>
          <t>【文言】向き：図面に方位表記なし。向きは空欄。元付に確認</t>
        </is>
      </c>
    </row>
    <row r="204">
      <c r="A204" s="9" t="inlineStr">
        <is>
          <t>07</t>
        </is>
      </c>
      <c r="B204" s="9" t="inlineStr">
        <is>
          <t>元麻布ヒルズフォレストタワー</t>
        </is>
      </c>
      <c r="C204" s="9" t="inlineStr">
        <is>
          <t>24階</t>
        </is>
      </c>
      <c r="D204" s="9" t="inlineStr">
        <is>
          <t>文言</t>
        </is>
      </c>
      <c r="E204" s="9" t="inlineStr">
        <is>
          <t>【文言】眺望写真（01_眺望.jpg）：販売図面の背景写真で撮影階の記載なし。画像コメントに「撮影階は図面に記載なし」と明記。当住戸からの眺望か元付に確認</t>
        </is>
      </c>
    </row>
    <row r="205">
      <c r="A205" s="9" t="inlineStr">
        <is>
          <t>07</t>
        </is>
      </c>
      <c r="B205" s="9" t="inlineStr">
        <is>
          <t>元麻布ヒルズフォレストタワー</t>
        </is>
      </c>
      <c r="C205" s="9" t="inlineStr">
        <is>
          <t>24階</t>
        </is>
      </c>
      <c r="D205" s="9" t="inlineStr">
        <is>
          <t>文言</t>
        </is>
      </c>
      <c r="E205" s="9" t="inlineStr">
        <is>
          <t>【文言】設備：図面「設備：別紙に記載」→別紙未入手。設備チェックは共用部・図面記載分のみ。床暖房・食洗機・ディスポーザー等は未選択</t>
        </is>
      </c>
    </row>
    <row r="206">
      <c r="A206" s="9" t="inlineStr">
        <is>
          <t>07</t>
        </is>
      </c>
      <c r="B206" s="9" t="inlineStr">
        <is>
          <t>元麻布ヒルズフォレストタワー</t>
        </is>
      </c>
      <c r="C206" s="9" t="inlineStr">
        <is>
          <t>24階</t>
        </is>
      </c>
      <c r="D206" s="9" t="inlineStr">
        <is>
          <t>文言</t>
        </is>
      </c>
      <c r="E206" s="9" t="inlineStr">
        <is>
          <t>【文言】取引態様 売主・図面上の表記「広告：不可」（依頼者より承諾取得済との指示）。司法書士は売主指定（備考に記載済み）</t>
        </is>
      </c>
    </row>
    <row r="207">
      <c r="A207" s="9" t="inlineStr">
        <is>
          <t>07</t>
        </is>
      </c>
      <c r="B207" s="9" t="inlineStr">
        <is>
          <t>元麻布ヒルズフォレストタワー</t>
        </is>
      </c>
      <c r="C207" s="9" t="inlineStr">
        <is>
          <t>24階</t>
        </is>
      </c>
      <c r="D207" s="9" t="inlineStr">
        <is>
          <t>文言</t>
        </is>
      </c>
      <c r="E207" s="9" t="inlineStr">
        <is>
          <t>【文言】画像：許可済みは図面由来の2枚（眺望・間取図）のみ。図面由来の外観（382×322px）は長辺400px未満のため要許可側へ移して保留。室内写真なし。他社掲載7枚は転載許可が取れるまで登録しない</t>
        </is>
      </c>
    </row>
    <row r="208">
      <c r="A208" s="9" t="inlineStr">
        <is>
          <t>07</t>
        </is>
      </c>
      <c r="B208" s="9" t="inlineStr">
        <is>
          <t>元麻布ヒルズフォレストタワー</t>
        </is>
      </c>
      <c r="C208" s="9" t="inlineStr">
        <is>
          <t>24階</t>
        </is>
      </c>
      <c r="D208" s="9" t="inlineStr">
        <is>
          <t>推測入力</t>
        </is>
      </c>
      <c r="E208" s="9" t="inlineStr">
        <is>
          <t>設備チェック「宅配ボックス」「内廊下」：ポータル（モダンスタンダード・HOME'S・恵比寿不動産）の記載のみを根拠に選択</t>
        </is>
      </c>
    </row>
    <row r="209">
      <c r="A209" s="9" t="inlineStr">
        <is>
          <t>07</t>
        </is>
      </c>
      <c r="B209" s="9" t="inlineStr">
        <is>
          <t>元麻布ヒルズフォレストタワー</t>
        </is>
      </c>
      <c r="C209" s="9" t="inlineStr">
        <is>
          <t>24階</t>
        </is>
      </c>
      <c r="D209" s="9" t="inlineStr">
        <is>
          <t>推測入力</t>
        </is>
      </c>
      <c r="E209" s="9" t="inlineStr">
        <is>
          <t>設備チェック「ラウンジ・プール・フィットネス」：MORI LIVINGの共用施設（スパは会員制・有料）を根拠に選択</t>
        </is>
      </c>
    </row>
    <row r="210">
      <c r="A210" s="9" t="inlineStr">
        <is>
          <t>07</t>
        </is>
      </c>
      <c r="B210" s="9" t="inlineStr">
        <is>
          <t>元麻布ヒルズフォレストタワー</t>
        </is>
      </c>
      <c r="C210" s="9" t="inlineStr">
        <is>
          <t>24階</t>
        </is>
      </c>
      <c r="D210" s="9" t="inlineStr">
        <is>
          <t>推測入力</t>
        </is>
      </c>
      <c r="E210" s="9" t="inlineStr">
        <is>
          <t>設備チェック「ユーティリティ」「収納（Closet）」：図面の間取図の室名表記を根拠に追加</t>
        </is>
      </c>
    </row>
    <row r="211">
      <c r="A211" s="9" t="inlineStr">
        <is>
          <t>07</t>
        </is>
      </c>
      <c r="B211" s="9" t="inlineStr">
        <is>
          <t>元麻布ヒルズフォレストタワー</t>
        </is>
      </c>
      <c r="C211" s="9" t="inlineStr">
        <is>
          <t>24階</t>
        </is>
      </c>
      <c r="D211" s="9" t="inlineStr">
        <is>
          <t>推測入力</t>
        </is>
      </c>
      <c r="E211" s="9" t="inlineStr">
        <is>
          <t>画像カテゴリ：外観2枚目以降・ゲート・スカイラウンジは専用値がないため19（その他共用部分）、フロントは44（ロビー）とした</t>
        </is>
      </c>
    </row>
    <row r="212">
      <c r="A212" s="9" t="inlineStr">
        <is>
          <t>07</t>
        </is>
      </c>
      <c r="B212" s="9" t="inlineStr">
        <is>
          <t>元麻布ヒルズフォレストタワー</t>
        </is>
      </c>
      <c r="C212" s="9" t="inlineStr">
        <is>
          <t>24階</t>
        </is>
      </c>
      <c r="D212" s="9" t="inlineStr">
        <is>
          <t>推測入力</t>
        </is>
      </c>
      <c r="E212" s="9" t="inlineStr">
        <is>
          <t>コメントの表現（「ご家族とゲストの動線を分けられます」「窓辺で夜景を眺めて一日を終えられます」等の暮らしのイメージ）</t>
        </is>
      </c>
    </row>
    <row r="213">
      <c r="A213" s="9" t="inlineStr">
        <is>
          <t>08</t>
        </is>
      </c>
      <c r="B213" s="9" t="inlineStr">
        <is>
          <t>元麻布ヒルズ フォレストテラスイースト</t>
        </is>
      </c>
      <c r="C213" s="9" t="inlineStr">
        <is>
          <t>3階</t>
        </is>
      </c>
      <c r="D213" s="9" t="inlineStr">
        <is>
          <t>数値（図面値で入力）</t>
        </is>
      </c>
      <c r="E213" s="9" t="inlineStr">
        <is>
          <t>【数値・図面値で入力】地上階数：図面値「地上5階/地下1階」で入力（他の値：地上6階・地下1階＝森ビル公式データシート・R.E.port）。登記で要確認</t>
        </is>
      </c>
    </row>
    <row r="214">
      <c r="A214" s="9" t="inlineStr">
        <is>
          <t>08</t>
        </is>
      </c>
      <c r="B214" s="9" t="inlineStr">
        <is>
          <t>元麻布ヒルズ フォレストテラスイースト</t>
        </is>
      </c>
      <c r="C214" s="9" t="inlineStr">
        <is>
          <t>3階</t>
        </is>
      </c>
      <c r="D214" s="9" t="inlineStr">
        <is>
          <t>数値（図面値で入力）</t>
        </is>
      </c>
      <c r="E214" s="9" t="inlineStr">
        <is>
          <t>【数値・図面値で入力】総戸数：図面値19戸で入力（他の値：23戸＝R.E.port竣工記事・Wikipedia・KEN建物説明文）。コメントも19戸で統一</t>
        </is>
      </c>
    </row>
    <row r="215">
      <c r="A215" s="9" t="inlineStr">
        <is>
          <t>08</t>
        </is>
      </c>
      <c r="B215" s="9" t="inlineStr">
        <is>
          <t>元麻布ヒルズ フォレストテラスイースト</t>
        </is>
      </c>
      <c r="C215" s="9" t="inlineStr">
        <is>
          <t>3階</t>
        </is>
      </c>
      <c r="D215" s="9" t="inlineStr">
        <is>
          <t>数値（図面値で入力）</t>
        </is>
      </c>
      <c r="E215" s="9" t="inlineStr">
        <is>
          <t>【数値・図面値で入力】敷地面積：図面値12,380.37㎡（実測）で入力（他の値：12,309㎡＝森ビル公式／12,119.65㎡＝同敷地のA-p13）。登記簿で要確認</t>
        </is>
      </c>
    </row>
    <row r="216">
      <c r="A216" s="9" t="inlineStr">
        <is>
          <t>08</t>
        </is>
      </c>
      <c r="B216" s="9" t="inlineStr">
        <is>
          <t>元麻布ヒルズ フォレストテラスイースト</t>
        </is>
      </c>
      <c r="C216" s="9" t="inlineStr">
        <is>
          <t>3階</t>
        </is>
      </c>
      <c r="D216" s="9" t="inlineStr">
        <is>
          <t>数値（図面値で入力）</t>
        </is>
      </c>
      <c r="E216" s="9" t="inlineStr">
        <is>
          <t>【数値・図面値で入力】用途地域：図面値（第二種中高層住居専用地域）で入力（他の値：第一種中高層住居専用地域＝同敷地のA-p13）</t>
        </is>
      </c>
    </row>
    <row r="217">
      <c r="A217" s="9" t="inlineStr">
        <is>
          <t>08</t>
        </is>
      </c>
      <c r="B217" s="9" t="inlineStr">
        <is>
          <t>元麻布ヒルズ フォレストテラスイースト</t>
        </is>
      </c>
      <c r="C217" s="9" t="inlineStr">
        <is>
          <t>3階</t>
        </is>
      </c>
      <c r="D217" s="9" t="inlineStr">
        <is>
          <t>数値（図面値で入力）</t>
        </is>
      </c>
      <c r="E217" s="9" t="inlineStr">
        <is>
          <t>【数値・図面値で入力】交通：図面は南北線「麻布十番」徒歩7分のみ。大江戸線「麻布十番」徒歩6分・日比谷線「広尾」徒歩13分は図面に値がないため元付の建物ページ記載値で補完（Yahoo!概要のみ使用、出典明記）</t>
        </is>
      </c>
    </row>
    <row r="218">
      <c r="A218" s="9" t="inlineStr">
        <is>
          <t>08</t>
        </is>
      </c>
      <c r="B218" s="9" t="inlineStr">
        <is>
          <t>元麻布ヒルズ フォレストテラスイースト</t>
        </is>
      </c>
      <c r="C218" s="9" t="inlineStr">
        <is>
          <t>3階</t>
        </is>
      </c>
      <c r="D218" s="9" t="inlineStr">
        <is>
          <t>文言</t>
        </is>
      </c>
      <c r="E218" s="9" t="inlineStr">
        <is>
          <t>【文言】管理会社：図面 A-p14は空欄／森ビル株式会社（元付の建物ページ・DH図鑑）。森ビルを入力済み。重要事項調査報告書で要確認</t>
        </is>
      </c>
    </row>
    <row r="219">
      <c r="A219" s="9" t="inlineStr">
        <is>
          <t>08</t>
        </is>
      </c>
      <c r="B219" s="9" t="inlineStr">
        <is>
          <t>元麻布ヒルズ フォレストテラスイースト</t>
        </is>
      </c>
      <c r="C219" s="9" t="inlineStr">
        <is>
          <t>3階</t>
        </is>
      </c>
      <c r="D219" s="9" t="inlineStr">
        <is>
          <t>文言</t>
        </is>
      </c>
      <c r="E219" s="9" t="inlineStr">
        <is>
          <t>【文言】バルコニー面積：図面・元付HPとも記載なし（同面積4階住戸は16.37㎡＝別住戸のため流用しない）。空欄。元付に確認</t>
        </is>
      </c>
    </row>
    <row r="220">
      <c r="A220" s="9" t="inlineStr">
        <is>
          <t>08</t>
        </is>
      </c>
      <c r="B220" s="9" t="inlineStr">
        <is>
          <t>元麻布ヒルズ フォレストテラスイースト</t>
        </is>
      </c>
      <c r="C220" s="9" t="inlineStr">
        <is>
          <t>3階</t>
        </is>
      </c>
      <c r="D220" s="9" t="inlineStr">
        <is>
          <t>文言</t>
        </is>
      </c>
      <c r="E220" s="9" t="inlineStr">
        <is>
          <t>【文言】キッチン：現行の間取図（冷蔵庫置場2か所＋島型）と、室内写真（壁付け＋半円テーブル＝2021年掲載と同じ画像）が合わない。改修済みか、写真が改修前か元付に確認。確認までは「リフォーム済」を付けない</t>
        </is>
      </c>
    </row>
    <row r="221">
      <c r="A221" s="9" t="inlineStr">
        <is>
          <t>08</t>
        </is>
      </c>
      <c r="B221" s="9" t="inlineStr">
        <is>
          <t>元麻布ヒルズ フォレストテラスイースト</t>
        </is>
      </c>
      <c r="C221" s="9" t="inlineStr">
        <is>
          <t>3階</t>
        </is>
      </c>
      <c r="D221" s="9" t="inlineStr">
        <is>
          <t>文言</t>
        </is>
      </c>
      <c r="E221" s="9" t="inlineStr">
        <is>
          <t>【文言】大規模修繕：元付HP「2025年1月から約2年間の予定」。2026年9月時点で工事中の可能性。進捗と外観写真との違いを確認</t>
        </is>
      </c>
    </row>
    <row r="222">
      <c r="A222" s="9" t="inlineStr">
        <is>
          <t>08</t>
        </is>
      </c>
      <c r="B222" s="9" t="inlineStr">
        <is>
          <t>元麻布ヒルズ フォレストテラスイースト</t>
        </is>
      </c>
      <c r="C222" s="9" t="inlineStr">
        <is>
          <t>3階</t>
        </is>
      </c>
      <c r="D222" s="9" t="inlineStr">
        <is>
          <t>文言</t>
        </is>
      </c>
      <c r="E222" s="9" t="inlineStr">
        <is>
          <t>【文言】価格の税区分：図面に記載なし</t>
        </is>
      </c>
    </row>
    <row r="223">
      <c r="A223" s="9" t="inlineStr">
        <is>
          <t>08</t>
        </is>
      </c>
      <c r="B223" s="9" t="inlineStr">
        <is>
          <t>元麻布ヒルズ フォレストテラスイースト</t>
        </is>
      </c>
      <c r="C223" s="9" t="inlineStr">
        <is>
          <t>3階</t>
        </is>
      </c>
      <c r="D223" s="9" t="inlineStr">
        <is>
          <t>文言</t>
        </is>
      </c>
      <c r="E223" s="9" t="inlineStr">
        <is>
          <t>【文言】免震：元付HPの設備欄に「免震構造」とあるが本棟の裏付けなし。設備チェック・コメントとも不使用</t>
        </is>
      </c>
    </row>
    <row r="224">
      <c r="A224" s="9" t="inlineStr">
        <is>
          <t>08</t>
        </is>
      </c>
      <c r="B224" s="9" t="inlineStr">
        <is>
          <t>元麻布ヒルズ フォレストテラスイースト</t>
        </is>
      </c>
      <c r="C224" s="9" t="inlineStr">
        <is>
          <t>3階</t>
        </is>
      </c>
      <c r="D224" s="9" t="inlineStr">
        <is>
          <t>文言</t>
        </is>
      </c>
      <c r="E224" s="9" t="inlineStr">
        <is>
          <t>【文言】スカイラウンジ（タワー棟28階）・スカイデッキ・元麻布ヒルズスパ（会員制）の本棟居住者の利用条件が未確認。コメントは「敷地内タワー棟」「入会別途」と明記</t>
        </is>
      </c>
    </row>
    <row r="225">
      <c r="A225" s="9" t="inlineStr">
        <is>
          <t>08</t>
        </is>
      </c>
      <c r="B225" s="9" t="inlineStr">
        <is>
          <t>元麻布ヒルズ フォレストテラスイースト</t>
        </is>
      </c>
      <c r="C225" s="9" t="inlineStr">
        <is>
          <t>3階</t>
        </is>
      </c>
      <c r="D225" s="9" t="inlineStr">
        <is>
          <t>文言</t>
        </is>
      </c>
      <c r="E225" s="9" t="inlineStr">
        <is>
          <t>【文言】画像：許可済み23枚はすべて元付の透かし（Ken Corporation Ltd.）入り（各画像に watermark:true）。透かしなしの元データを元付に依頼</t>
        </is>
      </c>
    </row>
    <row r="226">
      <c r="A226" s="9" t="inlineStr">
        <is>
          <t>08</t>
        </is>
      </c>
      <c r="B226" s="9" t="inlineStr">
        <is>
          <t>元麻布ヒルズ フォレストテラスイースト</t>
        </is>
      </c>
      <c r="C226" s="9" t="inlineStr">
        <is>
          <t>3階</t>
        </is>
      </c>
      <c r="D226" s="9" t="inlineStr">
        <is>
          <t>文言</t>
        </is>
      </c>
      <c r="E226" s="9" t="inlineStr">
        <is>
          <t>【文言】画像（07_エントランスホール）はクリスマスツリーが写る季節写真。掲載時期に合わせて差し替え検討</t>
        </is>
      </c>
    </row>
    <row r="227">
      <c r="A227" s="9" t="inlineStr">
        <is>
          <t>08</t>
        </is>
      </c>
      <c r="B227" s="9" t="inlineStr">
        <is>
          <t>元麻布ヒルズ フォレストテラスイースト</t>
        </is>
      </c>
      <c r="C227" s="9" t="inlineStr">
        <is>
          <t>3階</t>
        </is>
      </c>
      <c r="D227" s="9" t="inlineStr">
        <is>
          <t>文言</t>
        </is>
      </c>
      <c r="E227" s="9" t="inlineStr">
        <is>
          <t>【文言】室内設備：元付HPに洗濯機・乾燥機・冷蔵庫の記載あり。付帯設備か要確認（未入力）</t>
        </is>
      </c>
    </row>
    <row r="228">
      <c r="A228" s="9" t="inlineStr">
        <is>
          <t>08</t>
        </is>
      </c>
      <c r="B228" s="9" t="inlineStr">
        <is>
          <t>元麻布ヒルズ フォレストテラスイースト</t>
        </is>
      </c>
      <c r="C228" s="9" t="inlineStr">
        <is>
          <t>3階</t>
        </is>
      </c>
      <c r="D228" s="9" t="inlineStr">
        <is>
          <t>文言</t>
        </is>
      </c>
      <c r="E228" s="9" t="inlineStr">
        <is>
          <t>【文言】小学校区：港区立南山小学校の距離が元付HP内で約500m／約800mと食い違うため距離は空欄。中学校区は未確認</t>
        </is>
      </c>
    </row>
    <row r="229">
      <c r="A229" s="9" t="inlineStr">
        <is>
          <t>08</t>
        </is>
      </c>
      <c r="B229" s="9" t="inlineStr">
        <is>
          <t>元麻布ヒルズ フォレストテラスイースト</t>
        </is>
      </c>
      <c r="C229" s="9" t="inlineStr">
        <is>
          <t>3階</t>
        </is>
      </c>
      <c r="D229" s="9" t="inlineStr">
        <is>
          <t>推測入力</t>
        </is>
      </c>
      <c r="E229" s="9" t="inlineStr">
        <is>
          <t>設備チェック「プール・フィットネス」：本棟1階の会員制スパ（ヒルズスパ公式・入会別途）を根拠に選択</t>
        </is>
      </c>
    </row>
    <row r="230">
      <c r="A230" s="9" t="inlineStr">
        <is>
          <t>08</t>
        </is>
      </c>
      <c r="B230" s="9" t="inlineStr">
        <is>
          <t>元麻布ヒルズ フォレストテラスイースト</t>
        </is>
      </c>
      <c r="C230" s="9" t="inlineStr">
        <is>
          <t>3階</t>
        </is>
      </c>
      <c r="D230" s="9" t="inlineStr">
        <is>
          <t>推測入力</t>
        </is>
      </c>
      <c r="E230" s="9" t="inlineStr">
        <is>
          <t>設備チェック「閑静な住宅街」「低層マンション」：元付HP・図面特徴欄の記載を根拠に選択</t>
        </is>
      </c>
    </row>
    <row r="231">
      <c r="A231" s="9" t="inlineStr">
        <is>
          <t>08</t>
        </is>
      </c>
      <c r="B231" s="9" t="inlineStr">
        <is>
          <t>元麻布ヒルズ フォレストテラスイースト</t>
        </is>
      </c>
      <c r="C231" s="9" t="inlineStr">
        <is>
          <t>3階</t>
        </is>
      </c>
      <c r="D231" s="9" t="inlineStr">
        <is>
          <t>推測入力</t>
        </is>
      </c>
      <c r="E231" s="9" t="inlineStr">
        <is>
          <t>設備チェック「室内洗濯機置場」「ガスコンロ（4口）」「各階ゴミ置場」：元付HP（KEN住戸ページ）の設備欄を根拠に追加</t>
        </is>
      </c>
    </row>
    <row r="232">
      <c r="A232" s="9" t="inlineStr">
        <is>
          <t>08</t>
        </is>
      </c>
      <c r="B232" s="9" t="inlineStr">
        <is>
          <t>元麻布ヒルズ フォレストテラスイースト</t>
        </is>
      </c>
      <c r="C232" s="9" t="inlineStr">
        <is>
          <t>3階</t>
        </is>
      </c>
      <c r="D232" s="9" t="inlineStr">
        <is>
          <t>推測入力</t>
        </is>
      </c>
      <c r="E232" s="9" t="inlineStr">
        <is>
          <t>画像カテゴリ：外観2枚目以降・回廊・ゲート・パーゴラ・緑地は19（その他共用部分）とした</t>
        </is>
      </c>
    </row>
    <row r="233">
      <c r="A233" s="9" t="inlineStr">
        <is>
          <t>08</t>
        </is>
      </c>
      <c r="B233" s="9" t="inlineStr">
        <is>
          <t>元麻布ヒルズ フォレストテラスイースト</t>
        </is>
      </c>
      <c r="C233" s="9" t="inlineStr">
        <is>
          <t>3階</t>
        </is>
      </c>
      <c r="D233" s="9" t="inlineStr">
        <is>
          <t>推測入力</t>
        </is>
      </c>
      <c r="E233" s="9" t="inlineStr">
        <is>
          <t>画像コメントの暮らしのイメージ（「散策のような時間」「花見を楽しめる」等）と、写真から読み取った仕上げ（石張り・ウッドデッキ・2ボウル等）の表現</t>
        </is>
      </c>
    </row>
    <row r="234">
      <c r="A234" s="9" t="inlineStr">
        <is>
          <t>08</t>
        </is>
      </c>
      <c r="B234" s="9" t="inlineStr">
        <is>
          <t>元麻布ヒルズ フォレストテラスイースト</t>
        </is>
      </c>
      <c r="C234" s="9" t="inlineStr">
        <is>
          <t>3階</t>
        </is>
      </c>
      <c r="D234" s="9" t="inlineStr">
        <is>
          <t>推測入力</t>
        </is>
      </c>
      <c r="E234" s="9" t="inlineStr">
        <is>
          <t>眺望写真2枚は元付（KEN）の過去掲載だが、他社掲載フォルダの取り扱いに従い要許可側に入れた</t>
        </is>
      </c>
    </row>
    <row r="235">
      <c r="A235" s="9" t="inlineStr">
        <is>
          <t>09</t>
        </is>
      </c>
      <c r="B235" s="9" t="inlineStr">
        <is>
          <t>パークコート虎ノ門愛宕タワー</t>
        </is>
      </c>
      <c r="C235" s="9" t="inlineStr">
        <is>
          <t>29-30階</t>
        </is>
      </c>
      <c r="D235" s="9" t="inlineStr">
        <is>
          <t>数値（図面値で入力）</t>
        </is>
      </c>
      <c r="E235" s="9" t="inlineStr">
        <is>
          <t>【数値・図面値で入力】竣工年月：図面値2008年4月で入力（他の値：2008年6月＝ノムコム・東急リバブル・住友ステップ）</t>
        </is>
      </c>
    </row>
    <row r="236">
      <c r="A236" s="9" t="inlineStr">
        <is>
          <t>09</t>
        </is>
      </c>
      <c r="B236" s="9" t="inlineStr">
        <is>
          <t>パークコート虎ノ門愛宕タワー</t>
        </is>
      </c>
      <c r="C236" s="9" t="inlineStr">
        <is>
          <t>29-30階</t>
        </is>
      </c>
      <c r="D236" s="9" t="inlineStr">
        <is>
          <t>数値（図面値で入力）</t>
        </is>
      </c>
      <c r="E236" s="9" t="inlineStr">
        <is>
          <t>【数値・図面値で入力】交通：図面値で入力（他の値：虎ノ門ヒルズ駅 徒歩4分＝リハウス・ケン／御成門駅 徒歩8分＝リハウス・住友ステップ）</t>
        </is>
      </c>
    </row>
    <row r="237">
      <c r="A237" s="9" t="inlineStr">
        <is>
          <t>09</t>
        </is>
      </c>
      <c r="B237" s="9" t="inlineStr">
        <is>
          <t>パークコート虎ノ門愛宕タワー</t>
        </is>
      </c>
      <c r="C237" s="9" t="inlineStr">
        <is>
          <t>29-30階</t>
        </is>
      </c>
      <c r="D237" s="9" t="inlineStr">
        <is>
          <t>数値（図面値で入力）</t>
        </is>
      </c>
      <c r="E237" s="9" t="inlineStr">
        <is>
          <t>【数値・図面値で入力】敷地面積：図面値3,165.57㎡で入力（他の値：3,165.49㎡＝住友ステップ・東京タワーマンションズ）</t>
        </is>
      </c>
    </row>
    <row r="238">
      <c r="A238" s="9" t="inlineStr">
        <is>
          <t>09</t>
        </is>
      </c>
      <c r="B238" s="9" t="inlineStr">
        <is>
          <t>パークコート虎ノ門愛宕タワー</t>
        </is>
      </c>
      <c r="C238" s="9" t="inlineStr">
        <is>
          <t>29-30階</t>
        </is>
      </c>
      <c r="D238" s="9" t="inlineStr">
        <is>
          <t>文言</t>
        </is>
      </c>
      <c r="E238" s="9" t="inlineStr">
        <is>
          <t>【文言】管理形態：管理員日勤（図面 A-p15）／24時間有人管理・夜間セキュリティ待機（ケン・東急リバブル）。図面値を入力。コメントでは24時間有人管理を使っていない</t>
        </is>
      </c>
    </row>
    <row r="239">
      <c r="A239" s="9" t="inlineStr">
        <is>
          <t>09</t>
        </is>
      </c>
      <c r="B239" s="9" t="inlineStr">
        <is>
          <t>パークコート虎ノ門愛宕タワー</t>
        </is>
      </c>
      <c r="C239" s="9" t="inlineStr">
        <is>
          <t>29-30階</t>
        </is>
      </c>
      <c r="D239" s="9" t="inlineStr">
        <is>
          <t>文言</t>
        </is>
      </c>
      <c r="E239" s="9" t="inlineStr">
        <is>
          <t>【文言】ルーフバルコニー使用料：図面に記載なし。元付に確認</t>
        </is>
      </c>
    </row>
    <row r="240">
      <c r="A240" s="9" t="inlineStr">
        <is>
          <t>09</t>
        </is>
      </c>
      <c r="B240" s="9" t="inlineStr">
        <is>
          <t>パークコート虎ノ門愛宕タワー</t>
        </is>
      </c>
      <c r="C240" s="9" t="inlineStr">
        <is>
          <t>29-30階</t>
        </is>
      </c>
      <c r="D240" s="9" t="inlineStr">
        <is>
          <t>文言</t>
        </is>
      </c>
      <c r="E240" s="9" t="inlineStr">
        <is>
          <t>【文言】ペット：図面に記載なし。ポータル（長谷工・ノムコム・リハウス）で飼育可（細則）。basicには入力、コメント・設備チェックでは使っていない。規約で要確認</t>
        </is>
      </c>
    </row>
    <row r="241">
      <c r="A241" s="9" t="inlineStr">
        <is>
          <t>09</t>
        </is>
      </c>
      <c r="B241" s="9" t="inlineStr">
        <is>
          <t>パークコート虎ノ門愛宕タワー</t>
        </is>
      </c>
      <c r="C241" s="9" t="inlineStr">
        <is>
          <t>29-30階</t>
        </is>
      </c>
      <c r="D241" s="9" t="inlineStr">
        <is>
          <t>文言</t>
        </is>
      </c>
      <c r="E241" s="9" t="inlineStr">
        <is>
          <t>【文言】価格の税区分：図面に記載なし。元付TEL：図面に記載なし</t>
        </is>
      </c>
    </row>
    <row r="242">
      <c r="A242" s="9" t="inlineStr">
        <is>
          <t>09</t>
        </is>
      </c>
      <c r="B242" s="9" t="inlineStr">
        <is>
          <t>パークコート虎ノ門愛宕タワー</t>
        </is>
      </c>
      <c r="C242" s="9" t="inlineStr">
        <is>
          <t>29-30階</t>
        </is>
      </c>
      <c r="D242" s="9" t="inlineStr">
        <is>
          <t>文言</t>
        </is>
      </c>
      <c r="E242" s="9" t="inlineStr">
        <is>
          <t>【文言】外観写真：販売図面 A-p15 の外観（A_p15_img06_478x356.jpeg）を `共用部/00_外観_販売図面.jpg` にコピーし、json の file と photos.csv を更新済み</t>
        </is>
      </c>
    </row>
    <row r="243">
      <c r="A243" s="9" t="inlineStr">
        <is>
          <t>09</t>
        </is>
      </c>
      <c r="B243" s="9" t="inlineStr">
        <is>
          <t>パークコート虎ノ門愛宕タワー</t>
        </is>
      </c>
      <c r="C243" s="9" t="inlineStr">
        <is>
          <t>29-30階</t>
        </is>
      </c>
      <c r="D243" s="9" t="inlineStr">
        <is>
          <t>文言</t>
        </is>
      </c>
      <c r="E243" s="9" t="inlineStr">
        <is>
          <t>【文言】室内写真はすべて販売図面の埋め込み画像（約470px・黒い縁取り付き）。解像度が低いので元付に元データを依頼</t>
        </is>
      </c>
    </row>
    <row r="244">
      <c r="A244" s="9" t="inlineStr">
        <is>
          <t>09</t>
        </is>
      </c>
      <c r="B244" s="9" t="inlineStr">
        <is>
          <t>パークコート虎ノ門愛宕タワー</t>
        </is>
      </c>
      <c r="C244" s="9" t="inlineStr">
        <is>
          <t>29-30階</t>
        </is>
      </c>
      <c r="D244" s="9" t="inlineStr">
        <is>
          <t>文言</t>
        </is>
      </c>
      <c r="E244" s="9" t="inlineStr">
        <is>
          <t>【文言】写真に家具（ソファ・ベッド・ダイニングセット）が写っている。付帯の有無は図面に記載なし。コメントでは付帯をうたっていない</t>
        </is>
      </c>
    </row>
    <row r="245">
      <c r="A245" s="9" t="inlineStr">
        <is>
          <t>09</t>
        </is>
      </c>
      <c r="B245" s="9" t="inlineStr">
        <is>
          <t>パークコート虎ノ門愛宕タワー</t>
        </is>
      </c>
      <c r="C245" s="9" t="inlineStr">
        <is>
          <t>29-30階</t>
        </is>
      </c>
      <c r="D245" s="9" t="inlineStr">
        <is>
          <t>文言</t>
        </is>
      </c>
      <c r="E245" s="9" t="inlineStr">
        <is>
          <t>【文言】床暖房・食洗機・ディスポーザー・浴室換気乾燥機：ポータルでは分譲時の標準装備とされているが、当住戸の現況は未確認のため未選択</t>
        </is>
      </c>
    </row>
    <row r="246">
      <c r="A246" s="9" t="inlineStr">
        <is>
          <t>09</t>
        </is>
      </c>
      <c r="B246" s="9" t="inlineStr">
        <is>
          <t>パークコート虎ノ門愛宕タワー</t>
        </is>
      </c>
      <c r="C246" s="9" t="inlineStr">
        <is>
          <t>29-30階</t>
        </is>
      </c>
      <c r="D246" s="9" t="inlineStr">
        <is>
          <t>文言</t>
        </is>
      </c>
      <c r="E246" s="9" t="inlineStr">
        <is>
          <t>【文言】「風致地区」（図面キャッチコピー）：区域に入るかを港区公式で確認できていないため、コメントでは使っていない（「愛宕山の麓」は図面表記どおり使用）</t>
        </is>
      </c>
    </row>
    <row r="247">
      <c r="A247" s="9" t="inlineStr">
        <is>
          <t>09</t>
        </is>
      </c>
      <c r="B247" s="9" t="inlineStr">
        <is>
          <t>パークコート虎ノ門愛宕タワー</t>
        </is>
      </c>
      <c r="C247" s="9" t="inlineStr">
        <is>
          <t>29-30階</t>
        </is>
      </c>
      <c r="D247" s="9" t="inlineStr">
        <is>
          <t>文言</t>
        </is>
      </c>
      <c r="E247" s="9" t="inlineStr">
        <is>
          <t>【文言】リフォーム：図面の「Bath(2023)」は浴室サイズの表記と判断し、リフォームとしては扱っていない。同じマンションの別の29・30階住戸（168.23㎡・2024年5月リフォーム）の情報と混同しないこと</t>
        </is>
      </c>
    </row>
    <row r="248">
      <c r="A248" s="9" t="inlineStr">
        <is>
          <t>09</t>
        </is>
      </c>
      <c r="B248" s="9" t="inlineStr">
        <is>
          <t>パークコート虎ノ門愛宕タワー</t>
        </is>
      </c>
      <c r="C248" s="9" t="inlineStr">
        <is>
          <t>29-30階</t>
        </is>
      </c>
      <c r="D248" s="9" t="inlineStr">
        <is>
          <t>文言</t>
        </is>
      </c>
      <c r="E248" s="9" t="inlineStr">
        <is>
          <t>【文言】コンシェルジュ・プレミアムラウンジ・ゲストルーム・制震・二重床はポータル／分譲公式の記載。コメントでは「（ポータル記載）」を付けて使用</t>
        </is>
      </c>
    </row>
    <row r="249">
      <c r="A249" s="9" t="inlineStr">
        <is>
          <t>09</t>
        </is>
      </c>
      <c r="B249" s="9" t="inlineStr">
        <is>
          <t>パークコート虎ノ門愛宕タワー</t>
        </is>
      </c>
      <c r="C249" s="9" t="inlineStr">
        <is>
          <t>29-30階</t>
        </is>
      </c>
      <c r="D249" s="9" t="inlineStr">
        <is>
          <t>文言</t>
        </is>
      </c>
      <c r="E249" s="9" t="inlineStr">
        <is>
          <t>【文言】画像：許可済み10枚（外観1・間取図2・室内7）。分譲公式（31mansion.com）の13枚と他社掲載の21枚は、転載許可が取れるまで登録しない</t>
        </is>
      </c>
    </row>
    <row r="250">
      <c r="A250" s="9" t="inlineStr">
        <is>
          <t>09</t>
        </is>
      </c>
      <c r="B250" s="9" t="inlineStr">
        <is>
          <t>パークコート虎ノ門愛宕タワー</t>
        </is>
      </c>
      <c r="C250" s="9" t="inlineStr">
        <is>
          <t>29-30階</t>
        </is>
      </c>
      <c r="D250" s="9" t="inlineStr">
        <is>
          <t>推測入力</t>
        </is>
      </c>
      <c r="E250" s="9" t="inlineStr">
        <is>
          <t>設備チェック「オートロック・防犯カメラ・宅配ボックス・内廊下・コンシェルジュ・制震構造・二重床・24時間ゴミ出し」：ポータル記載を根拠に選択</t>
        </is>
      </c>
    </row>
    <row r="251">
      <c r="A251" s="9" t="inlineStr">
        <is>
          <t>09</t>
        </is>
      </c>
      <c r="B251" s="9" t="inlineStr">
        <is>
          <t>パークコート虎ノ門愛宕タワー</t>
        </is>
      </c>
      <c r="C251" s="9" t="inlineStr">
        <is>
          <t>29-30階</t>
        </is>
      </c>
      <c r="D251" s="9" t="inlineStr">
        <is>
          <t>推測入力</t>
        </is>
      </c>
      <c r="E251" s="9" t="inlineStr">
        <is>
          <t>設備チェック「ビューバス」「ガス給湯器」：図面の特徴欄・設備欄を根拠に追加</t>
        </is>
      </c>
    </row>
    <row r="252">
      <c r="A252" s="9" t="inlineStr">
        <is>
          <t>09</t>
        </is>
      </c>
      <c r="B252" s="9" t="inlineStr">
        <is>
          <t>パークコート虎ノ門愛宕タワー</t>
        </is>
      </c>
      <c r="C252" s="9" t="inlineStr">
        <is>
          <t>29-30階</t>
        </is>
      </c>
      <c r="D252" s="9" t="inlineStr">
        <is>
          <t>推測入力</t>
        </is>
      </c>
      <c r="E252" s="9" t="inlineStr">
        <is>
          <t>画像カテゴリ：30階の間取図は15（その他）、外観2枚目以降・車寄せ・ストーンガーデン・ラウンジ・ゲストルーム・廊下は19（その他共用部分）とした</t>
        </is>
      </c>
    </row>
    <row r="253">
      <c r="A253" s="9" t="inlineStr">
        <is>
          <t>09</t>
        </is>
      </c>
      <c r="B253" s="9" t="inlineStr">
        <is>
          <t>パークコート虎ノ門愛宕タワー</t>
        </is>
      </c>
      <c r="C253" s="9" t="inlineStr">
        <is>
          <t>29-30階</t>
        </is>
      </c>
      <c r="D253" s="9" t="inlineStr">
        <is>
          <t>推測入力</t>
        </is>
      </c>
      <c r="E253" s="9" t="inlineStr">
        <is>
          <t>写真06・07はどちらも吹き抜けに面した室内窓があるため30階の寝室と判断した（図面の写真キャプションは「主寝室」「寝室」）</t>
        </is>
      </c>
    </row>
    <row r="254">
      <c r="A254" s="9" t="inlineStr">
        <is>
          <t>09</t>
        </is>
      </c>
      <c r="B254" s="9" t="inlineStr">
        <is>
          <t>パークコート虎ノ門愛宕タワー</t>
        </is>
      </c>
      <c r="C254" s="9" t="inlineStr">
        <is>
          <t>29-30階</t>
        </is>
      </c>
      <c r="D254" s="9" t="inlineStr">
        <is>
          <t>推測入力</t>
        </is>
      </c>
      <c r="E254" s="9" t="inlineStr">
        <is>
          <t>コメントの表現（「屋外で過ごす時間に」「週末の外出」等の暮らしのイメージ）</t>
        </is>
      </c>
    </row>
    <row r="255">
      <c r="A255" s="9" t="inlineStr">
        <is>
          <t>10</t>
        </is>
      </c>
      <c r="B255" s="9" t="inlineStr">
        <is>
          <t>東京ツインパークス</t>
        </is>
      </c>
      <c r="C255" s="9" t="inlineStr">
        <is>
          <t>レフトウィング4603号室</t>
        </is>
      </c>
      <c r="D255" s="9" t="inlineStr">
        <is>
          <t>数値（図面値で入力）</t>
        </is>
      </c>
      <c r="E255" s="9" t="inlineStr">
        <is>
          <t>【数値・図面値で入力】交通の徒歩分数：図面値で入力（汐留2分・浜松町6分・新橋8分＝図面 A-p16）（他の値：汐留3分・浜松町8分・新橋10分＝ノムコム・SUUMO）。大門駅徒歩8分はKEN記載値（図面に記載なし）</t>
        </is>
      </c>
    </row>
    <row r="256">
      <c r="A256" s="9" t="inlineStr">
        <is>
          <t>10</t>
        </is>
      </c>
      <c r="B256" s="9" t="inlineStr">
        <is>
          <t>東京ツインパークス</t>
        </is>
      </c>
      <c r="C256" s="9" t="inlineStr">
        <is>
          <t>レフトウィング4603号室</t>
        </is>
      </c>
      <c r="D256" s="9" t="inlineStr">
        <is>
          <t>数値（図面値で入力）</t>
        </is>
      </c>
      <c r="E256" s="9" t="inlineStr">
        <is>
          <t>【数値・図面値で入力】総戸数：図面に記載なし。1,000戸（2棟合計＝Wikipedia・SUUMOジャーナル）を入力（他の値：レフトウィング577戸＝Wikipedia・マンションレビュー・KEN／576戸＝SUUMO・ノムコム）。21Cloudの総戸数欄を棟単位にするか確認</t>
        </is>
      </c>
    </row>
    <row r="257">
      <c r="A257" s="9" t="inlineStr">
        <is>
          <t>10</t>
        </is>
      </c>
      <c r="B257" s="9" t="inlineStr">
        <is>
          <t>東京ツインパークス</t>
        </is>
      </c>
      <c r="C257" s="9" t="inlineStr">
        <is>
          <t>レフトウィング4603号室</t>
        </is>
      </c>
      <c r="D257" s="9" t="inlineStr">
        <is>
          <t>数値（図面値で入力）</t>
        </is>
      </c>
      <c r="E257" s="9" t="inlineStr">
        <is>
          <t>【数値・図面値で入力】築年月：図面値で入力（2002年9月＝図面 A-p16・ノムコム）（他の値：2002年10月＝Wikipedia。ライトウィングの竣工月とみられる）</t>
        </is>
      </c>
    </row>
    <row r="258">
      <c r="A258" s="9" t="inlineStr">
        <is>
          <t>10</t>
        </is>
      </c>
      <c r="B258" s="9" t="inlineStr">
        <is>
          <t>東京ツインパークス</t>
        </is>
      </c>
      <c r="C258" s="9" t="inlineStr">
        <is>
          <t>レフトウィング4603号室</t>
        </is>
      </c>
      <c r="D258" s="9" t="inlineStr">
        <is>
          <t>数値（図面値で入力）</t>
        </is>
      </c>
      <c r="E258" s="9" t="inlineStr">
        <is>
          <t>【数値・図面値で入力】敷地面積：図面値で入力（15,565.56㎡＝図面 A-p16）（他の値：15,564.87㎡＝Wikipedia／15,565.5㎡＝ノムコム）</t>
        </is>
      </c>
    </row>
    <row r="259">
      <c r="A259" s="9" t="inlineStr">
        <is>
          <t>10</t>
        </is>
      </c>
      <c r="B259" s="9" t="inlineStr">
        <is>
          <t>東京ツインパークス</t>
        </is>
      </c>
      <c r="C259" s="9" t="inlineStr">
        <is>
          <t>レフトウィング4603号室</t>
        </is>
      </c>
      <c r="D259" s="9" t="inlineStr">
        <is>
          <t>数値（図面値で入力）</t>
        </is>
      </c>
      <c r="E259" s="9" t="inlineStr">
        <is>
          <t>【数値・図面値で入力】浴室サイズ：図面値で入力（1822＝図面 A-p16 間取図）（他の値：1622＝物件情報.md④の記載。図面を拡大して再確認し1822と判読）。設備根拠と要許可画像のコメントを1822に修正</t>
        </is>
      </c>
    </row>
    <row r="260">
      <c r="A260" s="9" t="inlineStr">
        <is>
          <t>10</t>
        </is>
      </c>
      <c r="B260" s="9" t="inlineStr">
        <is>
          <t>東京ツインパークス</t>
        </is>
      </c>
      <c r="C260" s="9" t="inlineStr">
        <is>
          <t>レフトウィング4603号室</t>
        </is>
      </c>
      <c r="D260" s="9" t="inlineStr">
        <is>
          <t>数値（図面値で入力）</t>
        </is>
      </c>
      <c r="E260" s="9" t="inlineStr">
        <is>
          <t>【数値・図面値で入力】元付図面：本住戸の販売図面は A-p16（サンウッド・売主）の1枚のみ。数値はすべて A-p16 を採用</t>
        </is>
      </c>
    </row>
    <row r="261">
      <c r="A261" s="9" t="inlineStr">
        <is>
          <t>10</t>
        </is>
      </c>
      <c r="B261" s="9" t="inlineStr">
        <is>
          <t>東京ツインパークス</t>
        </is>
      </c>
      <c r="C261" s="9" t="inlineStr">
        <is>
          <t>レフトウィング4603号室</t>
        </is>
      </c>
      <c r="D261" s="9" t="inlineStr">
        <is>
          <t>文言</t>
        </is>
      </c>
      <c r="E261" s="9" t="inlineStr">
        <is>
          <t>【文言】分譲会社：三菱地所ほか8社（ノムコム・Wikipedia）／「三菱商事・三井不動産・住友不動産他」（プリンセススクゥエアー）。各社公式では未確認</t>
        </is>
      </c>
    </row>
    <row r="262">
      <c r="A262" s="9" t="inlineStr">
        <is>
          <t>10</t>
        </is>
      </c>
      <c r="B262" s="9" t="inlineStr">
        <is>
          <t>東京ツインパークス</t>
        </is>
      </c>
      <c r="C262" s="9" t="inlineStr">
        <is>
          <t>レフトウィング4603号室</t>
        </is>
      </c>
      <c r="D262" s="9" t="inlineStr">
        <is>
          <t>文言</t>
        </is>
      </c>
      <c r="E262" s="9" t="inlineStr">
        <is>
          <t>【文言】向き・角部屋：図面に記載なし。南西（ノムコム・SUUMO向き欄）・南西/北西の角住戸（同紹介文）を入力。コメントにも使用しているため元付に確認推奨</t>
        </is>
      </c>
    </row>
    <row r="263">
      <c r="A263" s="9" t="inlineStr">
        <is>
          <t>10</t>
        </is>
      </c>
      <c r="B263" s="9" t="inlineStr">
        <is>
          <t>東京ツインパークス</t>
        </is>
      </c>
      <c r="C263" s="9" t="inlineStr">
        <is>
          <t>レフトウィング4603号室</t>
        </is>
      </c>
      <c r="D263" s="9" t="inlineStr">
        <is>
          <t>文言</t>
        </is>
      </c>
      <c r="E263" s="9" t="inlineStr">
        <is>
          <t>【文言】ザ・スカイハウス：使用料7,000円と専用使用権（図面）以外の内容（施設か、45〜47階住戸群の呼称か）は未確認。コメントでは「専用使用権」とだけ表記し、施設の説明はしていない</t>
        </is>
      </c>
    </row>
    <row r="264">
      <c r="A264" s="9" t="inlineStr">
        <is>
          <t>10</t>
        </is>
      </c>
      <c r="B264" s="9" t="inlineStr">
        <is>
          <t>東京ツインパークス</t>
        </is>
      </c>
      <c r="C264" s="9" t="inlineStr">
        <is>
          <t>レフトウィング4603号室</t>
        </is>
      </c>
      <c r="D264" s="9" t="inlineStr">
        <is>
          <t>文言</t>
        </is>
      </c>
      <c r="E264" s="9" t="inlineStr">
        <is>
          <t>【文言】専用駐車場（平置き付設）70,000円：契約が必須か任意かは未確認（ノムコム・SUUMOの駐車場欄は「-」）</t>
        </is>
      </c>
    </row>
    <row r="265">
      <c r="A265" s="9" t="inlineStr">
        <is>
          <t>10</t>
        </is>
      </c>
      <c r="B265" s="9" t="inlineStr">
        <is>
          <t>東京ツインパークス</t>
        </is>
      </c>
      <c r="C265" s="9" t="inlineStr">
        <is>
          <t>レフトウィング4603号室</t>
        </is>
      </c>
      <c r="D265" s="9" t="inlineStr">
        <is>
          <t>文言</t>
        </is>
      </c>
      <c r="E265" s="9" t="inlineStr">
        <is>
          <t>【文言】ペット飼育可（規約制限あり）：ノムコム・SUUMO記載のみで図面に記載なし。設備チェックで「ペット相談」を付ける前に規約を確認。コメントには入れていない</t>
        </is>
      </c>
    </row>
    <row r="266">
      <c r="A266" s="9" t="inlineStr">
        <is>
          <t>10</t>
        </is>
      </c>
      <c r="B266" s="9" t="inlineStr">
        <is>
          <t>東京ツインパークス</t>
        </is>
      </c>
      <c r="C266" s="9" t="inlineStr">
        <is>
          <t>レフトウィング4603号室</t>
        </is>
      </c>
      <c r="D266" s="9" t="inlineStr">
        <is>
          <t>文言</t>
        </is>
      </c>
      <c r="E266" s="9" t="inlineStr">
        <is>
          <t>【文言】SUUMO特徴の「全居室フローリング」は、写真（主寝室・洋室がカーペット）と合わないため選択していない</t>
        </is>
      </c>
    </row>
    <row r="267">
      <c r="A267" s="9" t="inlineStr">
        <is>
          <t>10</t>
        </is>
      </c>
      <c r="B267" s="9" t="inlineStr">
        <is>
          <t>東京ツインパークス</t>
        </is>
      </c>
      <c r="C267" s="9" t="inlineStr">
        <is>
          <t>レフトウィング4603号室</t>
        </is>
      </c>
      <c r="D267" s="9" t="inlineStr">
        <is>
          <t>文言</t>
        </is>
      </c>
      <c r="E267" s="9" t="inlineStr">
        <is>
          <t>【文言】許可済み画像は販売図面PDF由来の2枚のみ（外観なし）。元付サンウッドHPに本住戸の掲載がなく、室内・共用部・周辺の38枚はノムコム（野村不動産ソリューションズ）の同住戸掲載写真で、転載許可の範囲外の可能性があるため要許可に分類</t>
        </is>
      </c>
    </row>
    <row r="268">
      <c r="A268" s="9" t="inlineStr">
        <is>
          <t>10</t>
        </is>
      </c>
      <c r="B268" s="9" t="inlineStr">
        <is>
          <t>東京ツインパークス</t>
        </is>
      </c>
      <c r="C268" s="9" t="inlineStr">
        <is>
          <t>レフトウィング4603号室</t>
        </is>
      </c>
      <c r="D268" s="9" t="inlineStr">
        <is>
          <t>文言</t>
        </is>
      </c>
      <c r="E268" s="9" t="inlineStr">
        <is>
          <t>【文言】許可済み画像の注記（並び順を 1:01_リビング → 2:間取図 に変更。外観の許可済み写真がないため）：01_リビング.jpg は図面の背景写真（帯状の画像3枚を縦に結合したもの。夜景の合成有無は不明）。02_間取図_販売図面.jpg は写真の上に重ねた間取図で文字が読みにくいため、ノムコム間取図の許可が取れれば差し替えを推奨</t>
        </is>
      </c>
    </row>
    <row r="269">
      <c r="A269" s="9" t="inlineStr">
        <is>
          <t>10</t>
        </is>
      </c>
      <c r="B269" s="9" t="inlineStr">
        <is>
          <t>東京ツインパークス</t>
        </is>
      </c>
      <c r="C269" s="9" t="inlineStr">
        <is>
          <t>レフトウィング4603号室</t>
        </is>
      </c>
      <c r="D269" s="9" t="inlineStr">
        <is>
          <t>文言</t>
        </is>
      </c>
      <c r="E269" s="9" t="inlineStr">
        <is>
          <t>【文言】図面のキャッチ「46階のプレミアム住戸で最上級の毎日を」は最上級表現のため不使用</t>
        </is>
      </c>
    </row>
    <row r="270">
      <c r="A270" s="9" t="inlineStr">
        <is>
          <t>10</t>
        </is>
      </c>
      <c r="B270" s="9" t="inlineStr">
        <is>
          <t>東京ツインパークス</t>
        </is>
      </c>
      <c r="C270" s="9" t="inlineStr">
        <is>
          <t>レフトウィング4603号室</t>
        </is>
      </c>
      <c r="D270" s="9" t="inlineStr">
        <is>
          <t>推測入力</t>
        </is>
      </c>
      <c r="E270" s="9" t="inlineStr">
        <is>
          <t>設備チェック「ダブルボウル洗面台」：写真 14_洗面室.jpg で洗面ボウル2つを確認したため選択（出典の文字情報なし）</t>
        </is>
      </c>
    </row>
    <row r="271">
      <c r="A271" s="9" t="inlineStr">
        <is>
          <t>10</t>
        </is>
      </c>
      <c r="B271" s="9" t="inlineStr">
        <is>
          <t>東京ツインパークス</t>
        </is>
      </c>
      <c r="C271" s="9" t="inlineStr">
        <is>
          <t>レフトウィング4603号室</t>
        </is>
      </c>
      <c r="D271" s="9" t="inlineStr">
        <is>
          <t>推測入力</t>
        </is>
      </c>
      <c r="E271" s="9" t="inlineStr">
        <is>
          <t>設備チェック「タワーマンション・大規模マンション」：地上47階建（図面）・総戸数1,000戸（Wikipedia）から判断</t>
        </is>
      </c>
    </row>
    <row r="272">
      <c r="A272" s="9" t="inlineStr">
        <is>
          <t>10</t>
        </is>
      </c>
      <c r="B272" s="9" t="inlineStr">
        <is>
          <t>東京ツインパークス</t>
        </is>
      </c>
      <c r="C272" s="9" t="inlineStr">
        <is>
          <t>レフトウィング4603号室</t>
        </is>
      </c>
      <c r="D272" s="9" t="inlineStr">
        <is>
          <t>推測入力</t>
        </is>
      </c>
      <c r="E272" s="9" t="inlineStr">
        <is>
          <t>画像カテゴリ：ダイニング写真は該当カテゴリがないため「リビング(4)」、庭園・ラウンジ・フィットネス・カウンター席は「その他共用部分(19)」、周辺施設は「その他(15)」とした</t>
        </is>
      </c>
    </row>
    <row r="273">
      <c r="A273" s="9" t="inlineStr">
        <is>
          <t>10</t>
        </is>
      </c>
      <c r="B273" s="9" t="inlineStr">
        <is>
          <t>東京ツインパークス</t>
        </is>
      </c>
      <c r="C273" s="9" t="inlineStr">
        <is>
          <t>レフトウィング4603号室</t>
        </is>
      </c>
      <c r="D273" s="9" t="inlineStr">
        <is>
          <t>推測入力</t>
        </is>
      </c>
      <c r="E273" s="9" t="inlineStr">
        <is>
          <t>コメントの生活イメージ表現（書斎やゲストルームに使える、朝夕の散歩に向く 等）は間取り・周辺施設の事実から作文</t>
        </is>
      </c>
    </row>
    <row r="274">
      <c r="A274" s="9" t="inlineStr">
        <is>
          <t>10</t>
        </is>
      </c>
      <c r="B274" s="9" t="inlineStr">
        <is>
          <t>東京ツインパークス</t>
        </is>
      </c>
      <c r="C274" s="9" t="inlineStr">
        <is>
          <t>レフトウィング4603号室</t>
        </is>
      </c>
      <c r="D274" s="9" t="inlineStr">
        <is>
          <t>推測入力</t>
        </is>
      </c>
      <c r="E274" s="9" t="inlineStr">
        <is>
          <t>画像コメントの「窓付きのキッチン」はノムコムのハッシュタグ、浴室の「1622サイズ」は間取図の表記、「オートバス」はSUUMO特徴を根拠とした</t>
        </is>
      </c>
    </row>
    <row r="275">
      <c r="A275" s="9" t="inlineStr">
        <is>
          <t>10</t>
        </is>
      </c>
      <c r="B275" s="9" t="inlineStr">
        <is>
          <t>東京ツインパークス</t>
        </is>
      </c>
      <c r="C275" s="9" t="inlineStr">
        <is>
          <t>レフトウィング4603号室</t>
        </is>
      </c>
      <c r="D275" s="9" t="inlineStr">
        <is>
          <t>推測入力</t>
        </is>
      </c>
      <c r="E275" s="9" t="inlineStr">
        <is>
          <t>画像の並び：許可済みの外観写真がないため、1枚目を東京タワー夜景のリビング（01_リビング.jpg）、2枚目を間取図とした</t>
        </is>
      </c>
    </row>
    <row r="276">
      <c r="A276" s="9" t="inlineStr">
        <is>
          <t>11</t>
        </is>
      </c>
      <c r="B276" s="9" t="inlineStr">
        <is>
          <t>乃木坂パークハウス</t>
        </is>
      </c>
      <c r="C276" s="9" t="inlineStr">
        <is>
          <t>21階</t>
        </is>
      </c>
      <c r="D276" s="9" t="inlineStr">
        <is>
          <t>文言</t>
        </is>
      </c>
      <c r="E276" s="9" t="inlineStr">
        <is>
          <t>【文言】広告掲載の範囲：図面 A-p17 に「広告：自社HPのみ可能（承諾書不要）、ポータルサイト等その他の広告掲載禁止」「不動産会社間専用販売図面」の表記。依頼者より承諾取得済との指示はあるが、アットホーム（ポータル）掲載のため、承諾の範囲に含まれるか入力前に確認</t>
        </is>
      </c>
    </row>
    <row r="277">
      <c r="A277" s="9" t="inlineStr">
        <is>
          <t>11</t>
        </is>
      </c>
      <c r="B277" s="9" t="inlineStr">
        <is>
          <t>乃木坂パークハウス</t>
        </is>
      </c>
      <c r="C277" s="9" t="inlineStr">
        <is>
          <t>21階</t>
        </is>
      </c>
      <c r="D277" s="9" t="inlineStr">
        <is>
          <t>文言</t>
        </is>
      </c>
      <c r="E277" s="9" t="inlineStr">
        <is>
          <t>【文言】管理体制：日勤・全部委託、常駐警備員20時〜翌8時（図面 A-p17）／「365日24時間有人管理」（新築時パンフ p25）・「24時間有人管理（夜間警備員）」（mitaina）。図面表記で入力し、「24時間有人管理」はチェックせず、コメントにも使っていない</t>
        </is>
      </c>
    </row>
    <row r="278">
      <c r="A278" s="9" t="inlineStr">
        <is>
          <t>11</t>
        </is>
      </c>
      <c r="B278" s="9" t="inlineStr">
        <is>
          <t>乃木坂パークハウス</t>
        </is>
      </c>
      <c r="C278" s="9" t="inlineStr">
        <is>
          <t>21階</t>
        </is>
      </c>
      <c r="D278" s="9" t="inlineStr">
        <is>
          <t>文言</t>
        </is>
      </c>
      <c r="E278" s="9" t="inlineStr">
        <is>
          <t>【文言】構造：鉄筋コンクリート造（図面 A-p17）／鉄筋コンクリート造一部鉄骨造（新築時概要PDF・三菱地所の住まいリレー）。⑤の採用候補「RC造一部S造」を入力済み</t>
        </is>
      </c>
    </row>
    <row r="279">
      <c r="A279" s="9" t="inlineStr">
        <is>
          <t>11</t>
        </is>
      </c>
      <c r="B279" s="9" t="inlineStr">
        <is>
          <t>乃木坂パークハウス</t>
        </is>
      </c>
      <c r="C279" s="9" t="inlineStr">
        <is>
          <t>21階</t>
        </is>
      </c>
      <c r="D279" s="9" t="inlineStr">
        <is>
          <t>数値（図面値で入力）</t>
        </is>
      </c>
      <c r="E279" s="9" t="inlineStr">
        <is>
          <t>【数値・図面値で入力】総戸数：図面値で入力（42戸＝図面 A-p17・新築時概要PDF）（他の値：43戸＝マンションレビュー・東京建物）</t>
        </is>
      </c>
    </row>
    <row r="280">
      <c r="A280" s="9" t="inlineStr">
        <is>
          <t>11</t>
        </is>
      </c>
      <c r="B280" s="9" t="inlineStr">
        <is>
          <t>乃木坂パークハウス</t>
        </is>
      </c>
      <c r="C280" s="9" t="inlineStr">
        <is>
          <t>21階</t>
        </is>
      </c>
      <c r="D280" s="9" t="inlineStr">
        <is>
          <t>数値（図面値で入力）</t>
        </is>
      </c>
      <c r="E280" s="9" t="inlineStr">
        <is>
          <t>【数値・図面値で入力】交通：図面値で入力（「乃木坂」駅徒歩2分＝図面 A-p17・新築時概要PDF）（他の値：3分＝三菱地所の住まいリレー）</t>
        </is>
      </c>
    </row>
    <row r="281">
      <c r="A281" s="9" t="inlineStr">
        <is>
          <t>11</t>
        </is>
      </c>
      <c r="B281" s="9" t="inlineStr">
        <is>
          <t>乃木坂パークハウス</t>
        </is>
      </c>
      <c r="C281" s="9" t="inlineStr">
        <is>
          <t>21階</t>
        </is>
      </c>
      <c r="D281" s="9" t="inlineStr">
        <is>
          <t>数値（図面値で入力）</t>
        </is>
      </c>
      <c r="E281" s="9" t="inlineStr">
        <is>
          <t>【数値・図面値で入力】築年月：図面値で入力（2010年6月＝図面 A-p17・新築時概要PDF）（他の値：2010年8月＝アクセルホーム。引渡時期と思われる）</t>
        </is>
      </c>
    </row>
    <row r="282">
      <c r="A282" s="9" t="inlineStr">
        <is>
          <t>11</t>
        </is>
      </c>
      <c r="B282" s="9" t="inlineStr">
        <is>
          <t>乃木坂パークハウス</t>
        </is>
      </c>
      <c r="C282" s="9" t="inlineStr">
        <is>
          <t>21階</t>
        </is>
      </c>
      <c r="D282" s="9" t="inlineStr">
        <is>
          <t>文言</t>
        </is>
      </c>
      <c r="E282" s="9" t="inlineStr">
        <is>
          <t>【文言】向き：図面・元付HPに記載なし。南東（mitaina）を入力。四方角住戸のため、21Cloudの向き欄に何を入れるか確認</t>
        </is>
      </c>
    </row>
    <row r="283">
      <c r="A283" s="9" t="inlineStr">
        <is>
          <t>11</t>
        </is>
      </c>
      <c r="B283" s="9" t="inlineStr">
        <is>
          <t>乃木坂パークハウス</t>
        </is>
      </c>
      <c r="C283" s="9" t="inlineStr">
        <is>
          <t>21階</t>
        </is>
      </c>
      <c r="D283" s="9" t="inlineStr">
        <is>
          <t>文言</t>
        </is>
      </c>
      <c r="E283" s="9" t="inlineStr">
        <is>
          <t>【文言】駐車場：「空きあり（2026年3月12日時点・車種による）」は半年以上前の情報。料金48,000〜50,000円はポータル値で公式未確認。いずれも元付に最新状況を確認（料金は図面に記載なし）</t>
        </is>
      </c>
    </row>
    <row r="284">
      <c r="A284" s="9" t="inlineStr">
        <is>
          <t>11</t>
        </is>
      </c>
      <c r="B284" s="9" t="inlineStr">
        <is>
          <t>乃木坂パークハウス</t>
        </is>
      </c>
      <c r="C284" s="9" t="inlineStr">
        <is>
          <t>21階</t>
        </is>
      </c>
      <c r="D284" s="9" t="inlineStr">
        <is>
          <t>文言</t>
        </is>
      </c>
      <c r="E284" s="9" t="inlineStr">
        <is>
          <t>【文言】敷地権割合「10,000分の3,999」（元付HP）は1住戸の持分としては大きく要確認。敷地面積1,107.48㎡は新築時概要PDF・元付HPの値（図面に記載なし）</t>
        </is>
      </c>
    </row>
    <row r="285">
      <c r="A285" s="9" t="inlineStr">
        <is>
          <t>11</t>
        </is>
      </c>
      <c r="B285" s="9" t="inlineStr">
        <is>
          <t>乃木坂パークハウス</t>
        </is>
      </c>
      <c r="C285" s="9" t="inlineStr">
        <is>
          <t>21階</t>
        </is>
      </c>
      <c r="D285" s="9" t="inlineStr">
        <is>
          <t>文言</t>
        </is>
      </c>
      <c r="E285" s="9" t="inlineStr">
        <is>
          <t>【文言】室内設備（床暖房・食洗機・ディスポーザー・浴室乾燥機・フルオートバス・浄水器）は新築時パンフの仕様で、本住戸の現況は未確認。設備チェックは推測で付けている（guessed参照）。コメントには入れていない</t>
        </is>
      </c>
    </row>
    <row r="286">
      <c r="A286" s="9" t="inlineStr">
        <is>
          <t>11</t>
        </is>
      </c>
      <c r="B286" s="9" t="inlineStr">
        <is>
          <t>乃木坂パークハウス</t>
        </is>
      </c>
      <c r="C286" s="9" t="inlineStr">
        <is>
          <t>21階</t>
        </is>
      </c>
      <c r="D286" s="9" t="inlineStr">
        <is>
          <t>文言</t>
        </is>
      </c>
      <c r="E286" s="9" t="inlineStr">
        <is>
          <t>【文言】共用部/02_現地案内図.jpg（元付HP由来で転載は許可済み）：画像上部に「将来にわたり解放感が損なわれにくい希少な眺望立地」の文言が写り込み、禁止語「希少」を含む。画像内の文言も禁止文言チェックの対象になり得るため、依頼者の指示で images_pending_permission に移した（note に理由）。販売図面にも「希少性」の文言があるが不使用</t>
        </is>
      </c>
    </row>
    <row r="287">
      <c r="A287" s="9" t="inlineStr">
        <is>
          <t>11</t>
        </is>
      </c>
      <c r="B287" s="9" t="inlineStr">
        <is>
          <t>乃木坂パークハウス</t>
        </is>
      </c>
      <c r="C287" s="9" t="inlineStr">
        <is>
          <t>21階</t>
        </is>
      </c>
      <c r="D287" s="9" t="inlineStr">
        <is>
          <t>文言</t>
        </is>
      </c>
      <c r="E287" s="9" t="inlineStr">
        <is>
          <t>【文言】要許可39枚のうち3枚（01_キッチン・06_主寝室・11_浴室）は元付リストホームズのCDN上にあるHP未掲載画像。元付に確認できれば許可済みに移せる。残りは mitaina・プラザホームズ・ハウジング・ジャパン（館銘板は MODERN STANDARD の透かし有）</t>
        </is>
      </c>
    </row>
    <row r="288">
      <c r="A288" s="9" t="inlineStr">
        <is>
          <t>11</t>
        </is>
      </c>
      <c r="B288" s="9" t="inlineStr">
        <is>
          <t>乃木坂パークハウス</t>
        </is>
      </c>
      <c r="C288" s="9" t="inlineStr">
        <is>
          <t>21階</t>
        </is>
      </c>
      <c r="D288" s="9" t="inlineStr">
        <is>
          <t>文言</t>
        </is>
      </c>
      <c r="E288" s="9" t="inlineStr">
        <is>
          <t>【文言】図面備考に「イメージ画像のため現況と異なる場合がございます」の記載あり。許可済みの 02_眺望2.jpg（図面由来）は撮影時期の記載なし</t>
        </is>
      </c>
    </row>
    <row r="289">
      <c r="A289" s="9" t="inlineStr">
        <is>
          <t>11</t>
        </is>
      </c>
      <c r="B289" s="9" t="inlineStr">
        <is>
          <t>乃木坂パークハウス</t>
        </is>
      </c>
      <c r="C289" s="9" t="inlineStr">
        <is>
          <t>21階</t>
        </is>
      </c>
      <c r="D289" s="9" t="inlineStr">
        <is>
          <t>数値（図面値で入力）</t>
        </is>
      </c>
      <c r="E289" s="9" t="inlineStr">
        <is>
          <t>【数値・図面値で入力】元付図面：本住戸の販売図面は A-p17（リストホームズ・売主）の1枚のみ。価格・専有面積・バルコニー面積・所在階・階建・総戸数・築年月・管理費・修繕積立金・駅徒歩はすべて A-p17 の値。駐車場料金は図面に記載がなくポータル値（確度＝ポータル）</t>
        </is>
      </c>
    </row>
    <row r="290">
      <c r="A290" s="9" t="inlineStr">
        <is>
          <t>11</t>
        </is>
      </c>
      <c r="B290" s="9" t="inlineStr">
        <is>
          <t>乃木坂パークハウス</t>
        </is>
      </c>
      <c r="C290" s="9" t="inlineStr">
        <is>
          <t>21階</t>
        </is>
      </c>
      <c r="D290" s="9" t="inlineStr">
        <is>
          <t>推測入力</t>
        </is>
      </c>
      <c r="E290" s="9" t="inlineStr">
        <is>
          <t>設備チェック「床暖房（LD）」「食器洗乾燥機」「ディスポーザー」「浴室乾燥機・追焚（フルオートバス）」「浄水器」：新築時の設備PDFに記載があるため選択。本住戸の現況は未確認（食洗機は mitaina の写真で確認）</t>
        </is>
      </c>
    </row>
    <row r="291">
      <c r="A291" s="9" t="inlineStr">
        <is>
          <t>11</t>
        </is>
      </c>
      <c r="B291" s="9" t="inlineStr">
        <is>
          <t>乃木坂パークハウス</t>
        </is>
      </c>
      <c r="C291" s="9" t="inlineStr">
        <is>
          <t>21階</t>
        </is>
      </c>
      <c r="D291" s="9" t="inlineStr">
        <is>
          <t>推測入力</t>
        </is>
      </c>
      <c r="E291" s="9" t="inlineStr">
        <is>
          <t>設備チェック「タンクレストイレ」：新築時設備PDFの記載と mitaina の写真（タンクのない便器）から選択</t>
        </is>
      </c>
    </row>
    <row r="292">
      <c r="A292" s="9" t="inlineStr">
        <is>
          <t>11</t>
        </is>
      </c>
      <c r="B292" s="9" t="inlineStr">
        <is>
          <t>乃木坂パークハウス</t>
        </is>
      </c>
      <c r="C292" s="9" t="inlineStr">
        <is>
          <t>21階</t>
        </is>
      </c>
      <c r="D292" s="9" t="inlineStr">
        <is>
          <t>推測入力</t>
        </is>
      </c>
      <c r="E292" s="9" t="inlineStr">
        <is>
          <t>画像カテゴリ：ダイニングキッチン写真は「キッチン(5)」、車寄せ・ラウンジ・エレベーターホール・館銘板は「その他共用部分(19)」、パントリー・シューズインクローゼットは「収納(12)」とした</t>
        </is>
      </c>
    </row>
    <row r="293">
      <c r="A293" s="9" t="inlineStr">
        <is>
          <t>11</t>
        </is>
      </c>
      <c r="B293" s="9" t="inlineStr">
        <is>
          <t>乃木坂パークハウス</t>
        </is>
      </c>
      <c r="C293" s="9" t="inlineStr">
        <is>
          <t>21階</t>
        </is>
      </c>
      <c r="D293" s="9" t="inlineStr">
        <is>
          <t>推測入力</t>
        </is>
      </c>
      <c r="E293" s="9" t="inlineStr">
        <is>
          <t>画像コメントの眺望方角（リビング側＝六本木・赤坂方面 等）は写真の見え方と図面の眺望方面表記から判断。ダイニング側の「檜町公園方面」、洋室側の「青山方面」は推測を含む</t>
        </is>
      </c>
    </row>
    <row r="294">
      <c r="A294" s="9" t="inlineStr">
        <is>
          <t>11</t>
        </is>
      </c>
      <c r="B294" s="9" t="inlineStr">
        <is>
          <t>乃木坂パークハウス</t>
        </is>
      </c>
      <c r="C294" s="9" t="inlineStr">
        <is>
          <t>21階</t>
        </is>
      </c>
      <c r="D294" s="9" t="inlineStr">
        <is>
          <t>推測入力</t>
        </is>
      </c>
      <c r="E294" s="9" t="inlineStr">
        <is>
          <t>コメントの生活イメージ表現（二世帯・ゲスト・仕事場の使い分け、書斎・子ども部屋 等）は2玄関・2バスルームの間取りから作文</t>
        </is>
      </c>
    </row>
    <row r="295">
      <c r="A295" s="9" t="inlineStr">
        <is>
          <t>11</t>
        </is>
      </c>
      <c r="B295" s="9" t="inlineStr">
        <is>
          <t>乃木坂パークハウス</t>
        </is>
      </c>
      <c r="C295" s="9" t="inlineStr">
        <is>
          <t>21階</t>
        </is>
      </c>
      <c r="D295" s="9" t="inlineStr">
        <is>
          <t>推測入力</t>
        </is>
      </c>
      <c r="E295" s="9" t="inlineStr">
        <is>
          <t>画像 5（05_居室.jpg）：床の色が03_リビングより明るく見えるが、物件情報.md⑦の照合（mitaina・プラザホームズの「リビング」写真と同構図）に従いリビング(4)とした。窓の配置も間取図のリビング（掃出し窓・斜め壁の窓・縦長窓2つ）と合う</t>
        </is>
      </c>
    </row>
    <row r="296">
      <c r="A296" s="9" t="inlineStr">
        <is>
          <t>11</t>
        </is>
      </c>
      <c r="B296" s="9" t="inlineStr">
        <is>
          <t>乃木坂パークハウス</t>
        </is>
      </c>
      <c r="C296" s="9" t="inlineStr">
        <is>
          <t>21階</t>
        </is>
      </c>
      <c r="D296" s="9" t="inlineStr">
        <is>
          <t>推測入力</t>
        </is>
      </c>
      <c r="E296" s="9" t="inlineStr">
        <is>
          <t>設備チェック「全居室エアコン」：新築時設備PDFの記載と許可済み写真の天井カセット型エアコンから選択（洋室・主寝室の現況は未確認）</t>
        </is>
      </c>
    </row>
    <row r="297">
      <c r="A297" s="9" t="inlineStr">
        <is>
          <t>12</t>
        </is>
      </c>
      <c r="B297" s="9" t="inlineStr">
        <is>
          <t>HIKAWA GARDENS AKASAKA</t>
        </is>
      </c>
      <c r="C297" s="9" t="inlineStr">
        <is>
          <t>1階</t>
        </is>
      </c>
      <c r="D297" s="9" t="inlineStr">
        <is>
          <t>文言</t>
        </is>
      </c>
      <c r="E297" s="9" t="inlineStr">
        <is>
          <t>【文言】広告表記：合豊の図面 A-p18 に「広告掲載不可／内覧方法：立会」、ケンの図面 A-p19 には記載なし。依頼者より承諾取得済との指示はあるが、どちらの元付の承諾で登録するか確認</t>
        </is>
      </c>
    </row>
    <row r="298">
      <c r="A298" s="9" t="inlineStr">
        <is>
          <t>12</t>
        </is>
      </c>
      <c r="B298" s="9" t="inlineStr">
        <is>
          <t>HIKAWA GARDENS AKASAKA</t>
        </is>
      </c>
      <c r="C298" s="9" t="inlineStr">
        <is>
          <t>1階</t>
        </is>
      </c>
      <c r="D298" s="9" t="inlineStr">
        <is>
          <t>文言</t>
        </is>
      </c>
      <c r="E298" s="9" t="inlineStr">
        <is>
          <t>【文言】元付・取引態様：ケン・コーポレーション外国部（媒介、物件№2026085910）と合豊（売主代理）の2社。21Cloudに登録する元付を選択</t>
        </is>
      </c>
    </row>
    <row r="299">
      <c r="A299" s="9" t="inlineStr">
        <is>
          <t>12</t>
        </is>
      </c>
      <c r="B299" s="9" t="inlineStr">
        <is>
          <t>HIKAWA GARDENS AKASAKA</t>
        </is>
      </c>
      <c r="C299" s="9" t="inlineStr">
        <is>
          <t>1階</t>
        </is>
      </c>
      <c r="D299" s="9" t="inlineStr">
        <is>
          <t>文言</t>
        </is>
      </c>
      <c r="E299" s="9" t="inlineStr">
        <is>
          <t>【文言】間取り表記：3LDK+2バス2トイレ（A-p18 合豊）／3LDK（A-p19 ケン・KEN・SUUMO）。3LDKで入力し、浴室・トイレ2か所は設備チェックとコメントで表示</t>
        </is>
      </c>
    </row>
    <row r="300">
      <c r="A300" s="9" t="inlineStr">
        <is>
          <t>12</t>
        </is>
      </c>
      <c r="B300" s="9" t="inlineStr">
        <is>
          <t>HIKAWA GARDENS AKASAKA</t>
        </is>
      </c>
      <c r="C300" s="9" t="inlineStr">
        <is>
          <t>1階</t>
        </is>
      </c>
      <c r="D300" s="9" t="inlineStr">
        <is>
          <t>数値（図面値で入力）</t>
        </is>
      </c>
      <c r="E300" s="9" t="inlineStr">
        <is>
          <t>【数値・図面値で入力】交通：A-p19（ケン）の値で入力（六本木一丁目徒歩6分・六本木徒歩8分・赤坂徒歩8分）（他の値：A-p18（合豊）は六本木一丁目徒歩6分の1路線のみで、値は一致）</t>
        </is>
      </c>
    </row>
    <row r="301">
      <c r="A301" s="9" t="inlineStr">
        <is>
          <t>12</t>
        </is>
      </c>
      <c r="B301" s="9" t="inlineStr">
        <is>
          <t>HIKAWA GARDENS AKASAKA</t>
        </is>
      </c>
      <c r="C301" s="9" t="inlineStr">
        <is>
          <t>1階</t>
        </is>
      </c>
      <c r="D301" s="9" t="inlineStr">
        <is>
          <t>文言</t>
        </is>
      </c>
      <c r="E301" s="9" t="inlineStr">
        <is>
          <t>【文言】分譲会社：ペンブローグ（A-p19・KEN）／ペンブローク・リアルエステート・ジャパン エルエルシー（三井住友トラスト不動産ライブラリ）。物件情報.md⑤の採用候補（ペンブローク）を入力。リノベーション後の区分販売の売主は未確認</t>
        </is>
      </c>
    </row>
    <row r="302">
      <c r="A302" s="9" t="inlineStr">
        <is>
          <t>12</t>
        </is>
      </c>
      <c r="B302" s="9" t="inlineStr">
        <is>
          <t>HIKAWA GARDENS AKASAKA</t>
        </is>
      </c>
      <c r="C302" s="9" t="inlineStr">
        <is>
          <t>1階</t>
        </is>
      </c>
      <c r="D302" s="9" t="inlineStr">
        <is>
          <t>数値（図面値で入力）</t>
        </is>
      </c>
      <c r="E302" s="9" t="inlineStr">
        <is>
          <t>【数値・図面値で入力】地下階数：図面値で入力（地下2階＝図面 A-p18・A-p19）（他の値：地下1階＝三井住友トラスト不動産ライブラリ）</t>
        </is>
      </c>
    </row>
    <row r="303">
      <c r="A303" s="9" t="inlineStr">
        <is>
          <t>12</t>
        </is>
      </c>
      <c r="B303" s="9" t="inlineStr">
        <is>
          <t>HIKAWA GARDENS AKASAKA</t>
        </is>
      </c>
      <c r="C303" s="9" t="inlineStr">
        <is>
          <t>1階</t>
        </is>
      </c>
      <c r="D303" s="9" t="inlineStr">
        <is>
          <t>数値（図面値で入力）</t>
        </is>
      </c>
      <c r="E303" s="9" t="inlineStr">
        <is>
          <t>【数値・図面値で入力】築年月：図面値で入力（2002年8月＝図面 A-p18・A-p19）（他の値：2002年7月＝三井の賃貸・恵比寿不動産等）</t>
        </is>
      </c>
    </row>
    <row r="304">
      <c r="A304" s="9" t="inlineStr">
        <is>
          <t>12</t>
        </is>
      </c>
      <c r="B304" s="9" t="inlineStr">
        <is>
          <t>HIKAWA GARDENS AKASAKA</t>
        </is>
      </c>
      <c r="C304" s="9" t="inlineStr">
        <is>
          <t>1階</t>
        </is>
      </c>
      <c r="D304" s="9" t="inlineStr">
        <is>
          <t>文言</t>
        </is>
      </c>
      <c r="E304" s="9" t="inlineStr">
        <is>
          <t>【文言】向き（南）・角部屋：図面に記載なし。元付KENの住戸ページ記載を入力し、コメントには使っていない</t>
        </is>
      </c>
    </row>
    <row r="305">
      <c r="A305" s="9" t="inlineStr">
        <is>
          <t>12</t>
        </is>
      </c>
      <c r="B305" s="9" t="inlineStr">
        <is>
          <t>HIKAWA GARDENS AKASAKA</t>
        </is>
      </c>
      <c r="C305" s="9" t="inlineStr">
        <is>
          <t>1階</t>
        </is>
      </c>
      <c r="D305" s="9" t="inlineStr">
        <is>
          <t>文言</t>
        </is>
      </c>
      <c r="E305" s="9" t="inlineStr">
        <is>
          <t>【文言】バルコニー35.05㎡：図面は「バルコニー面積」、平面図は Terrace×2。21Cloudでテラス欄（terraceMenseki）に入れるかバルコニー欄に入れるか確認。使用料は未確認</t>
        </is>
      </c>
    </row>
    <row r="306">
      <c r="A306" s="9" t="inlineStr">
        <is>
          <t>12</t>
        </is>
      </c>
      <c r="B306" s="9" t="inlineStr">
        <is>
          <t>HIKAWA GARDENS AKASAKA</t>
        </is>
      </c>
      <c r="C306" s="9" t="inlineStr">
        <is>
          <t>1階</t>
        </is>
      </c>
      <c r="D306" s="9" t="inlineStr">
        <is>
          <t>文言</t>
        </is>
      </c>
      <c r="E306" s="9" t="inlineStr">
        <is>
          <t>【文言】リノベーション：図面は「一棟リノベーション（平成30年10月）」。住戸内の改修内容・時期は図面・元付HPで未確認のため、「リフォーム済」は付けていない</t>
        </is>
      </c>
    </row>
    <row r="307">
      <c r="A307" s="9" t="inlineStr">
        <is>
          <t>12</t>
        </is>
      </c>
      <c r="B307" s="9" t="inlineStr">
        <is>
          <t>HIKAWA GARDENS AKASAKA</t>
        </is>
      </c>
      <c r="C307" s="9" t="inlineStr">
        <is>
          <t>1階</t>
        </is>
      </c>
      <c r="D307" s="9" t="inlineStr">
        <is>
          <t>文言</t>
        </is>
      </c>
      <c r="E307" s="9" t="inlineStr">
        <is>
          <t>【文言】許可済み画像のうち KEN 由来13枚（室内4・共用部9）は「Ken Corporation Ltd.」の透かし入り→差替要（各画像に watermark: true と note を付与。画像コメント本文からは社内向け注記を削除）。室内写真は居住中の家財が写っている（一部ぼかし）。寝室・浴室・洗面・トイレ・テラス・眺望の写真はなく、元付に追加提供を依頼するか内覧時の撮影が必要</t>
        </is>
      </c>
    </row>
    <row r="308">
      <c r="A308" s="9" t="inlineStr">
        <is>
          <t>12</t>
        </is>
      </c>
      <c r="B308" s="9" t="inlineStr">
        <is>
          <t>HIKAWA GARDENS AKASAKA</t>
        </is>
      </c>
      <c r="C308" s="9" t="inlineStr">
        <is>
          <t>1階</t>
        </is>
      </c>
      <c r="D308" s="9" t="inlineStr">
        <is>
          <t>文言</t>
        </is>
      </c>
      <c r="E308" s="9" t="inlineStr">
        <is>
          <t>【文言】管理体制：図面は日勤。KEN住戸ページの特徴アイコンに「コンシェルジュ」があるが現在の体制は未確認のため、コメント・設備チェックに入れていない</t>
        </is>
      </c>
    </row>
    <row r="309">
      <c r="A309" s="9" t="inlineStr">
        <is>
          <t>12</t>
        </is>
      </c>
      <c r="B309" s="9" t="inlineStr">
        <is>
          <t>HIKAWA GARDENS AKASAKA</t>
        </is>
      </c>
      <c r="C309" s="9" t="inlineStr">
        <is>
          <t>1階</t>
        </is>
      </c>
      <c r="D309" s="9" t="inlineStr">
        <is>
          <t>文言</t>
        </is>
      </c>
      <c r="E309" s="9" t="inlineStr">
        <is>
          <t>【文言】ペット可否は未確認のため設備チェック・コメントとも未入力。耐震・天井高・二重床、大規模修繕の時期も未確認</t>
        </is>
      </c>
    </row>
    <row r="310">
      <c r="A310" s="9" t="inlineStr">
        <is>
          <t>12</t>
        </is>
      </c>
      <c r="B310" s="9" t="inlineStr">
        <is>
          <t>HIKAWA GARDENS AKASAKA</t>
        </is>
      </c>
      <c r="C310" s="9" t="inlineStr">
        <is>
          <t>1階</t>
        </is>
      </c>
      <c r="D310" s="9" t="inlineStr">
        <is>
          <t>文言</t>
        </is>
      </c>
      <c r="E310" s="9" t="inlineStr">
        <is>
          <t>【文言】重要事項説明向け：国土地理院のタイルで、土砂災害警戒区域（急傾斜地）の表示が街区の代表点の西約4mにある。敷地が区域内かは未確認</t>
        </is>
      </c>
    </row>
    <row r="311">
      <c r="A311" s="9" t="inlineStr">
        <is>
          <t>12</t>
        </is>
      </c>
      <c r="B311" s="9" t="inlineStr">
        <is>
          <t>HIKAWA GARDENS AKASAKA</t>
        </is>
      </c>
      <c r="C311" s="9" t="inlineStr">
        <is>
          <t>1階</t>
        </is>
      </c>
      <c r="D311" s="9" t="inlineStr">
        <is>
          <t>数値（図面値で入力）</t>
        </is>
      </c>
      <c r="E311" s="9" t="inlineStr">
        <is>
          <t>【数値・図面値で入力】元付図面2枚の扱い：A-p18（合豊・売主代理）と A-p19（ケン・媒介）で、価格・専有面積・バルコニー面積・所在階・階建・総戸数・築年月・管理費・修繕積立金・その他費用合計はすべて一致。基準図面は A-p19（ケン＝写真の元付HP、図面上の広告不可表記なし）とし、A-p19 にない数値（その他費用の内訳・LDK約39.3帖・各室帖数）は A-p18 で補った</t>
        </is>
      </c>
    </row>
    <row r="312">
      <c r="A312" s="9" t="inlineStr">
        <is>
          <t>12</t>
        </is>
      </c>
      <c r="B312" s="9" t="inlineStr">
        <is>
          <t>HIKAWA GARDENS AKASAKA</t>
        </is>
      </c>
      <c r="C312" s="9" t="inlineStr">
        <is>
          <t>1階</t>
        </is>
      </c>
      <c r="D312" s="9" t="inlineStr">
        <is>
          <t>推測入力</t>
        </is>
      </c>
      <c r="E312" s="9" t="inlineStr">
        <is>
          <t>画像カテゴリ：エントランスホール2枚は「ロビー(44)」、郵便受け・宅配ボックス、フィットネス、トランクルーム、駐輪場は「その他共用部分(19)」とした</t>
        </is>
      </c>
    </row>
    <row r="313">
      <c r="A313" s="9" t="inlineStr">
        <is>
          <t>12</t>
        </is>
      </c>
      <c r="B313" s="9" t="inlineStr">
        <is>
          <t>HIKAWA GARDENS AKASAKA</t>
        </is>
      </c>
      <c r="C313" s="9" t="inlineStr">
        <is>
          <t>1階</t>
        </is>
      </c>
      <c r="D313" s="9" t="inlineStr">
        <is>
          <t>推測入力</t>
        </is>
      </c>
      <c r="E313" s="9" t="inlineStr">
        <is>
          <t>画像 3〜5 のリビング写真の区別（LD全体・ダイニング側・リビング側）は写真の構図から判断</t>
        </is>
      </c>
    </row>
    <row r="314">
      <c r="A314" s="9" t="inlineStr">
        <is>
          <t>12</t>
        </is>
      </c>
      <c r="B314" s="9" t="inlineStr">
        <is>
          <t>HIKAWA GARDENS AKASAKA</t>
        </is>
      </c>
      <c r="C314" s="9" t="inlineStr">
        <is>
          <t>1階</t>
        </is>
      </c>
      <c r="D314" s="9" t="inlineStr">
        <is>
          <t>推測入力</t>
        </is>
      </c>
      <c r="E314" s="9" t="inlineStr">
        <is>
          <t>設備チェック「閑静な住宅地・緑豊か」：KEN建物ページの「氷川神社や檜町公園の緑に囲まれ」と図面 A-p19 の記載から選択</t>
        </is>
      </c>
    </row>
    <row r="315">
      <c r="A315" s="9" t="inlineStr">
        <is>
          <t>12</t>
        </is>
      </c>
      <c r="B315" s="9" t="inlineStr">
        <is>
          <t>HIKAWA GARDENS AKASAKA</t>
        </is>
      </c>
      <c r="C315" s="9" t="inlineStr">
        <is>
          <t>1階</t>
        </is>
      </c>
      <c r="D315" s="9" t="inlineStr">
        <is>
          <t>推測入力</t>
        </is>
      </c>
      <c r="E315" s="9" t="inlineStr">
        <is>
          <t>コメントの生活イメージ表現（朝の支度が重ならない、テラスを屋外の居場所に 等）は浴室2か所・テラス2か所の事実から作文</t>
        </is>
      </c>
    </row>
    <row r="316">
      <c r="A316" s="9" t="inlineStr">
        <is>
          <t>12</t>
        </is>
      </c>
      <c r="B316" s="9" t="inlineStr">
        <is>
          <t>HIKAWA GARDENS AKASAKA</t>
        </is>
      </c>
      <c r="C316" s="9" t="inlineStr">
        <is>
          <t>1階</t>
        </is>
      </c>
      <c r="D316" s="9" t="inlineStr">
        <is>
          <t>推測入力</t>
        </is>
      </c>
      <c r="E316" s="9" t="inlineStr">
        <is>
          <t>画像コメントの「機械式ではないため出し入れがしやすく」は図面の「屋内平置き」と写真から判断した表現。外観写真の「秋には木々が色づき」は写真の紅葉から作文</t>
        </is>
      </c>
    </row>
    <row r="317">
      <c r="A317" s="9" t="inlineStr">
        <is>
          <t>13</t>
        </is>
      </c>
      <c r="B317" s="9" t="inlineStr">
        <is>
          <t>虎ノ門ヒルズ レジデンシャルタワー</t>
        </is>
      </c>
      <c r="C317" s="9" t="inlineStr">
        <is>
          <t>29階</t>
        </is>
      </c>
      <c r="D317" s="9" t="inlineStr">
        <is>
          <t>文言</t>
        </is>
      </c>
      <c r="E317" s="9" t="inlineStr">
        <is>
          <t>【文言】図面の広告可否表記は「記載なし」（取引態様：媒介）。依頼者指示により承諾取得済として作成。</t>
        </is>
      </c>
    </row>
    <row r="318">
      <c r="A318" s="9" t="inlineStr">
        <is>
          <t>13</t>
        </is>
      </c>
      <c r="B318" s="9" t="inlineStr">
        <is>
          <t>虎ノ門ヒルズ レジデンシャルタワー</t>
        </is>
      </c>
      <c r="C318" s="9" t="inlineStr">
        <is>
          <t>29階</t>
        </is>
      </c>
      <c r="D318" s="9" t="inlineStr">
        <is>
          <t>文言</t>
        </is>
      </c>
      <c r="E318" s="9" t="inlineStr">
        <is>
          <t>【文言】管理員の勤務形態：常勤（図面 A-p20・KEN住戸）／日勤（マンションレビュー・mitaina）・通勤（SUUMOライブラリー）。図面の「常勤」を入力。</t>
        </is>
      </c>
    </row>
    <row r="319">
      <c r="A319" s="9" t="inlineStr">
        <is>
          <t>13</t>
        </is>
      </c>
      <c r="B319" s="9" t="inlineStr">
        <is>
          <t>虎ノ門ヒルズ レジデンシャルタワー</t>
        </is>
      </c>
      <c r="C319" s="9" t="inlineStr">
        <is>
          <t>29階</t>
        </is>
      </c>
      <c r="D319" s="9" t="inlineStr">
        <is>
          <t>文言</t>
        </is>
      </c>
      <c r="E319" s="9" t="inlineStr">
        <is>
          <t>【文言】構造：鉄筋コンクリート造（図面・KEN）／RC造（一部S造・SRC造）（森ビル竣工PR）。⑤採用候補の「RC造（一部S造・SRC造）」を入力。21Cloudの選択肢がRC/SRCのみなら図面どおりRCを選ぶ。</t>
        </is>
      </c>
    </row>
    <row r="320">
      <c r="A320" s="9" t="inlineStr">
        <is>
          <t>13</t>
        </is>
      </c>
      <c r="B320" s="9" t="inlineStr">
        <is>
          <t>虎ノ門ヒルズ レジデンシャルタワー</t>
        </is>
      </c>
      <c r="C320" s="9" t="inlineStr">
        <is>
          <t>29階</t>
        </is>
      </c>
      <c r="D320" s="9" t="inlineStr">
        <is>
          <t>文言</t>
        </is>
      </c>
      <c r="E320" s="9" t="inlineStr">
        <is>
          <t>【文言】用途地域：商業地域（図面）／商業地域・第二種住居地域（MR・mitaina・SUUMOライブラリー）。図面の商業地域を入力。</t>
        </is>
      </c>
    </row>
    <row r="321">
      <c r="A321" s="9" t="inlineStr">
        <is>
          <t>13</t>
        </is>
      </c>
      <c r="B321" s="9" t="inlineStr">
        <is>
          <t>虎ノ門ヒルズ レジデンシャルタワー</t>
        </is>
      </c>
      <c r="C321" s="9" t="inlineStr">
        <is>
          <t>29階</t>
        </is>
      </c>
      <c r="D321" s="9" t="inlineStr">
        <is>
          <t>文言</t>
        </is>
      </c>
      <c r="E321" s="9" t="inlineStr">
        <is>
          <t>【文言】小学校区：御成門小学校（KEN）／中央区立泰明小学校（SUUMOライブラリー）。御成門小を入力（港区で要確認）。</t>
        </is>
      </c>
    </row>
    <row r="322">
      <c r="A322" s="9" t="inlineStr">
        <is>
          <t>13</t>
        </is>
      </c>
      <c r="B322" s="9" t="inlineStr">
        <is>
          <t>虎ノ門ヒルズ レジデンシャルタワー</t>
        </is>
      </c>
      <c r="C322" s="9" t="inlineStr">
        <is>
          <t>29階</t>
        </is>
      </c>
      <c r="D322" s="9" t="inlineStr">
        <is>
          <t>数値（図面値で入力）</t>
        </is>
      </c>
      <c r="E322" s="9" t="inlineStr">
        <is>
          <t>【数値・図面値で入力】駐車場：図面は空欄のため台数・料金は入力しない（他の値：自走81台＋機械式200台・料金90,000〜170,000円/月＝MS記事／機械式200台・自走82台＝MR）。「あり（空き・料金要確認）」で入力。</t>
        </is>
      </c>
    </row>
    <row r="323">
      <c r="A323" s="9" t="inlineStr">
        <is>
          <t>13</t>
        </is>
      </c>
      <c r="B323" s="9" t="inlineStr">
        <is>
          <t>虎ノ門ヒルズ レジデンシャルタワー</t>
        </is>
      </c>
      <c r="C323" s="9" t="inlineStr">
        <is>
          <t>29階</t>
        </is>
      </c>
      <c r="D323" s="9" t="inlineStr">
        <is>
          <t>数値（図面値で入力）</t>
        </is>
      </c>
      <c r="E323" s="9" t="inlineStr">
        <is>
          <t>【数値・図面値で入力】トランクルーム：図面空欄のため未入力（他の値：15区画1.90〜3.99㎡＝MR）。本住戸の付帯は未確認。</t>
        </is>
      </c>
    </row>
    <row r="324">
      <c r="A324" s="9" t="inlineStr">
        <is>
          <t>13</t>
        </is>
      </c>
      <c r="B324" s="9" t="inlineStr">
        <is>
          <t>虎ノ門ヒルズ レジデンシャルタワー</t>
        </is>
      </c>
      <c r="C324" s="9" t="inlineStr">
        <is>
          <t>29階</t>
        </is>
      </c>
      <c r="D324" s="9" t="inlineStr">
        <is>
          <t>数値（図面値で入力）</t>
        </is>
      </c>
      <c r="E324" s="9" t="inlineStr">
        <is>
          <t>【数値・図面値で入力】総戸数：図面の547戸で入力（他の値：547戸＋サービスアパートメント160戸と読める＝森ビル竣工PR／547戸に含む＝TOKYO RENT）。</t>
        </is>
      </c>
    </row>
    <row r="325">
      <c r="A325" s="9" t="inlineStr">
        <is>
          <t>13</t>
        </is>
      </c>
      <c r="B325" s="9" t="inlineStr">
        <is>
          <t>虎ノ門ヒルズ レジデンシャルタワー</t>
        </is>
      </c>
      <c r="C325" s="9" t="inlineStr">
        <is>
          <t>29階</t>
        </is>
      </c>
      <c r="D325" s="9" t="inlineStr">
        <is>
          <t>数値（図面値で入力）</t>
        </is>
      </c>
      <c r="E325" s="9" t="inlineStr">
        <is>
          <t>【数値・図面値で入力】敷地面積：図面の5,988.37㎡（登記簿）で入力（他の値：約6,535㎡＝森ビル竣工PR）。</t>
        </is>
      </c>
    </row>
    <row r="326">
      <c r="A326" s="9" t="inlineStr">
        <is>
          <t>13</t>
        </is>
      </c>
      <c r="B326" s="9" t="inlineStr">
        <is>
          <t>虎ノ門ヒルズ レジデンシャルタワー</t>
        </is>
      </c>
      <c r="C326" s="9" t="inlineStr">
        <is>
          <t>29階</t>
        </is>
      </c>
      <c r="D326" s="9" t="inlineStr">
        <is>
          <t>数値（図面値で入力）</t>
        </is>
      </c>
      <c r="E326" s="9" t="inlineStr">
        <is>
          <t>【数値・図面値で入力】バイク置場：図面に記載なしのため台数・料金は入力しない（他の値：28台・15,000円/月＝MS記事・MR）。</t>
        </is>
      </c>
    </row>
    <row r="327">
      <c r="A327" s="9" t="inlineStr">
        <is>
          <t>13</t>
        </is>
      </c>
      <c r="B327" s="9" t="inlineStr">
        <is>
          <t>虎ノ門ヒルズ レジデンシャルタワー</t>
        </is>
      </c>
      <c r="C327" s="9" t="inlineStr">
        <is>
          <t>29階</t>
        </is>
      </c>
      <c r="D327" s="9" t="inlineStr">
        <is>
          <t>文言</t>
        </is>
      </c>
      <c r="E327" s="9" t="inlineStr">
        <is>
          <t>【文言】日本料理店の所在：図面「店舗棟：1階」／森ビル竣工PR「レジデンシャルタワー内に併設」。コメントは「建物内の日本料理店」と記載。</t>
        </is>
      </c>
    </row>
    <row r="328">
      <c r="A328" s="9" t="inlineStr">
        <is>
          <t>13</t>
        </is>
      </c>
      <c r="B328" s="9" t="inlineStr">
        <is>
          <t>虎ノ門ヒルズ レジデンシャルタワー</t>
        </is>
      </c>
      <c r="C328" s="9" t="inlineStr">
        <is>
          <t>29階</t>
        </is>
      </c>
      <c r="D328" s="9" t="inlineStr">
        <is>
          <t>文言</t>
        </is>
      </c>
      <c r="E328" s="9" t="inlineStr">
        <is>
          <t>【文言】許可済み画像はすべてKEN（元付）撮影で「Ken Corporation Ltd.」の透かし入り。各画像に watermark:true と note を付けた（comment20/100 は掲載文のみ）。透かし無しの原画を元付に依頼するか、このまま使うか判断が必要。</t>
        </is>
      </c>
    </row>
    <row r="329">
      <c r="A329" s="9" t="inlineStr">
        <is>
          <t>13</t>
        </is>
      </c>
      <c r="B329" s="9" t="inlineStr">
        <is>
          <t>虎ノ門ヒルズ レジデンシャルタワー</t>
        </is>
      </c>
      <c r="C329" s="9" t="inlineStr">
        <is>
          <t>29階</t>
        </is>
      </c>
      <c r="D329" s="9" t="inlineStr">
        <is>
          <t>文言</t>
        </is>
      </c>
      <c r="E329" s="9" t="inlineStr">
        <is>
          <t>【文言】写真01_リビングは家具がCG（KENキャプション）。comment20/100に（ＣＧ）と明記し、実写のリビング・眺望の後ろに置いた。使わない場合は外す。03〜05リビングは家具なしだが、実写かCG加工かはKENに明記なし。</t>
        </is>
      </c>
    </row>
    <row r="330">
      <c r="A330" s="9" t="inlineStr">
        <is>
          <t>13</t>
        </is>
      </c>
      <c r="B330" s="9" t="inlineStr">
        <is>
          <t>虎ノ門ヒルズ レジデンシャルタワー</t>
        </is>
      </c>
      <c r="C330" s="9" t="inlineStr">
        <is>
          <t>29階</t>
        </is>
      </c>
      <c r="D330" s="9" t="inlineStr">
        <is>
          <t>文言</t>
        </is>
      </c>
      <c r="E330" s="9" t="inlineStr">
        <is>
          <t>【文言】共用部05_スカイスイート専用フロント・14_スカイサロンはスカイスイート（43〜54階）専用で、29階住戸は使えないため掲載から外した（images_excluded）。</t>
        </is>
      </c>
    </row>
    <row r="331">
      <c r="A331" s="9" t="inlineStr">
        <is>
          <t>13</t>
        </is>
      </c>
      <c r="B331" s="9" t="inlineStr">
        <is>
          <t>虎ノ門ヒルズ レジデンシャルタワー</t>
        </is>
      </c>
      <c r="C331" s="9" t="inlineStr">
        <is>
          <t>29階</t>
        </is>
      </c>
      <c r="D331" s="9" t="inlineStr">
        <is>
          <t>文言</t>
        </is>
      </c>
      <c r="E331" s="9" t="inlineStr">
        <is>
          <t>【文言】共用部02_外観_航空写真は撮影時期が古く本建物が建設中の状態で写るため、images_pending_permission に移した（noteに理由）。</t>
        </is>
      </c>
    </row>
    <row r="332">
      <c r="A332" s="9" t="inlineStr">
        <is>
          <t>13</t>
        </is>
      </c>
      <c r="B332" s="9" t="inlineStr">
        <is>
          <t>虎ノ門ヒルズ レジデンシャルタワー</t>
        </is>
      </c>
      <c r="C332" s="9" t="inlineStr">
        <is>
          <t>29階</t>
        </is>
      </c>
      <c r="D332" s="9" t="inlineStr">
        <is>
          <t>文言</t>
        </is>
      </c>
      <c r="E332" s="9" t="inlineStr">
        <is>
          <t>【文言】外観写真は元画像の左右白余白をトリミングした派生ファイル（共用部/01_外観_余白除去.jpg）に差し替えた。photos.csv に追記済み。</t>
        </is>
      </c>
    </row>
    <row r="333">
      <c r="A333" s="9" t="inlineStr">
        <is>
          <t>13</t>
        </is>
      </c>
      <c r="B333" s="9" t="inlineStr">
        <is>
          <t>虎ノ門ヒルズ レジデンシャルタワー</t>
        </is>
      </c>
      <c r="C333" s="9" t="inlineStr">
        <is>
          <t>29階</t>
        </is>
      </c>
      <c r="D333" s="9" t="inlineStr">
        <is>
          <t>文言</t>
        </is>
      </c>
      <c r="E333" s="9" t="inlineStr">
        <is>
          <t>【文言】ハザード：重ねるハザードマップで想定最大規模の洪水浸水表示あり（深さは港区マップで要確認）。広告文には書いていない。重説で要確認。</t>
        </is>
      </c>
    </row>
    <row r="334">
      <c r="A334" s="9" t="inlineStr">
        <is>
          <t>13</t>
        </is>
      </c>
      <c r="B334" s="9" t="inlineStr">
        <is>
          <t>虎ノ門ヒルズ レジデンシャルタワー</t>
        </is>
      </c>
      <c r="C334" s="9" t="inlineStr">
        <is>
          <t>29階</t>
        </is>
      </c>
      <c r="D334" s="9" t="inlineStr">
        <is>
          <t>推測入力</t>
        </is>
      </c>
      <c r="E334" s="9" t="inlineStr">
        <is>
          <t>設備チェック「防犯カメラ」：図面の「4重セキュリティ」と24時間有人フロントから推測。</t>
        </is>
      </c>
    </row>
    <row r="335">
      <c r="A335" s="9" t="inlineStr">
        <is>
          <t>13</t>
        </is>
      </c>
      <c r="B335" s="9" t="inlineStr">
        <is>
          <t>虎ノ門ヒルズ レジデンシャルタワー</t>
        </is>
      </c>
      <c r="C335" s="9" t="inlineStr">
        <is>
          <t>29階</t>
        </is>
      </c>
      <c r="D335" s="9" t="inlineStr">
        <is>
          <t>推測入力</t>
        </is>
      </c>
      <c r="E335" s="9" t="inlineStr">
        <is>
          <t>設備チェック「全面フローリング」「システムキッチン」「3口以上コンロ」：KEN住戸の設備欄と写真（07キッチン・居室）を根拠に選択。</t>
        </is>
      </c>
    </row>
    <row r="336">
      <c r="A336" s="9" t="inlineStr">
        <is>
          <t>13</t>
        </is>
      </c>
      <c r="B336" s="9" t="inlineStr">
        <is>
          <t>虎ノ門ヒルズ レジデンシャルタワー</t>
        </is>
      </c>
      <c r="C336" s="9" t="inlineStr">
        <is>
          <t>29階</t>
        </is>
      </c>
      <c r="D336" s="9" t="inlineStr">
        <is>
          <t>推測入力</t>
        </is>
      </c>
      <c r="E336" s="9" t="inlineStr">
        <is>
          <t>コメントの表現（「家族と来客の動線を分けられる」「夜は周辺タワーの灯り」等）は間取図・夜景写真からの表現上の推測。</t>
        </is>
      </c>
    </row>
    <row r="337">
      <c r="A337" s="9" t="inlineStr">
        <is>
          <t>13</t>
        </is>
      </c>
      <c r="B337" s="9" t="inlineStr">
        <is>
          <t>虎ノ門ヒルズ レジデンシャルタワー</t>
        </is>
      </c>
      <c r="C337" s="9" t="inlineStr">
        <is>
          <t>29階</t>
        </is>
      </c>
      <c r="D337" s="9" t="inlineStr">
        <is>
          <t>推測入力</t>
        </is>
      </c>
      <c r="E337" s="9" t="inlineStr">
        <is>
          <t>画像カテゴリ：Bedroom（約7.9帖）は「洋室」、Master Bedroomは「寝室」、フロント・ギャラリーは「ロビー」、スパ・ライブラリー等は「その他共用部分」、航空写真は「その他」を選択。</t>
        </is>
      </c>
    </row>
    <row r="338">
      <c r="A338" s="9" t="inlineStr">
        <is>
          <t>13</t>
        </is>
      </c>
      <c r="B338" s="9" t="inlineStr">
        <is>
          <t>虎ノ門ヒルズ レジデンシャルタワー</t>
        </is>
      </c>
      <c r="C338" s="9" t="inlineStr">
        <is>
          <t>29階</t>
        </is>
      </c>
      <c r="D338" s="9" t="inlineStr">
        <is>
          <t>推測入力</t>
        </is>
      </c>
      <c r="E338" s="9" t="inlineStr">
        <is>
          <t>コメントの「来客の動線が寝室側に入らない」「床から天井までの窓」は間取図とリビング写真（03〜05）からの表現。</t>
        </is>
      </c>
    </row>
    <row r="339">
      <c r="A339" s="9" t="inlineStr">
        <is>
          <t>14</t>
        </is>
      </c>
      <c r="B339" s="9" t="inlineStr">
        <is>
          <t>リビオタワー品川</t>
        </is>
      </c>
      <c r="C339" s="9" t="inlineStr">
        <is>
          <t>34階</t>
        </is>
      </c>
      <c r="D339" s="9" t="inlineStr">
        <is>
          <t>数値（図面値で入力）</t>
        </is>
      </c>
      <c r="E339" s="9" t="inlineStr">
        <is>
          <t>【数値・図面値で入力】価格：図面の63,500万円で入力（他の値：68,000万円＝元付アンドデザインHP／63,500万円＝ウィル・モダンスタンダード・マンションレビュー）。元付HPが旧価格のままか元付に確認。</t>
        </is>
      </c>
    </row>
    <row r="340">
      <c r="A340" s="9" t="inlineStr">
        <is>
          <t>14</t>
        </is>
      </c>
      <c r="B340" s="9" t="inlineStr">
        <is>
          <t>リビオタワー品川</t>
        </is>
      </c>
      <c r="C340" s="9" t="inlineStr">
        <is>
          <t>34階</t>
        </is>
      </c>
      <c r="D340" s="9" t="inlineStr">
        <is>
          <t>数値（図面値で入力）</t>
        </is>
      </c>
      <c r="E340" s="9" t="inlineStr">
        <is>
          <t>【数値・図面値で入力】築年月：図面「2026年5月竣工予定」の2026年5月で入力（他の値：2026年5月11日竣工＝SUUMO売主広告）。「予定」は付けない。</t>
        </is>
      </c>
    </row>
    <row r="341">
      <c r="A341" s="9" t="inlineStr">
        <is>
          <t>14</t>
        </is>
      </c>
      <c r="B341" s="9" t="inlineStr">
        <is>
          <t>リビオタワー品川</t>
        </is>
      </c>
      <c r="C341" s="9" t="inlineStr">
        <is>
          <t>34階</t>
        </is>
      </c>
      <c r="D341" s="9" t="inlineStr">
        <is>
          <t>文言</t>
        </is>
      </c>
      <c r="E341" s="9" t="inlineStr">
        <is>
          <t>【文言】取引態様：売主代理・手数料1.5%税込（図面）／仲介（元付HP・ウィル・モダンスタンダード）。図面の「売主代理」で入力。</t>
        </is>
      </c>
    </row>
    <row r="342">
      <c r="A342" s="9" t="inlineStr">
        <is>
          <t>14</t>
        </is>
      </c>
      <c r="B342" s="9" t="inlineStr">
        <is>
          <t>リビオタワー品川</t>
        </is>
      </c>
      <c r="C342" s="9" t="inlineStr">
        <is>
          <t>34階</t>
        </is>
      </c>
      <c r="D342" s="9" t="inlineStr">
        <is>
          <t>数値（図面値で入力）</t>
        </is>
      </c>
      <c r="E342" s="9" t="inlineStr">
        <is>
          <t>【数値・図面値で入力】その他月額費用：図面の10,648円で入力（他の値：規約附表の内訳合計10,450円＝トランクルーム5,840円＋インターネット2,288円＋シャトルバス運営費2,322円）。198円差の理由は未確認。</t>
        </is>
      </c>
    </row>
    <row r="343">
      <c r="A343" s="9" t="inlineStr">
        <is>
          <t>14</t>
        </is>
      </c>
      <c r="B343" s="9" t="inlineStr">
        <is>
          <t>リビオタワー品川</t>
        </is>
      </c>
      <c r="C343" s="9" t="inlineStr">
        <is>
          <t>34階</t>
        </is>
      </c>
      <c r="D343" s="9" t="inlineStr">
        <is>
          <t>文言</t>
        </is>
      </c>
      <c r="E343" s="9" t="inlineStr">
        <is>
          <t>【文言】向き：北東角（元付間取図の方位記号から判読、⑤採用候補）／東（ウィル・モダンスタンダード・マンションレビュー）。21Cloudの向きは「北東」で入力、要確認。</t>
        </is>
      </c>
    </row>
    <row r="344">
      <c r="A344" s="9" t="inlineStr">
        <is>
          <t>14</t>
        </is>
      </c>
      <c r="B344" s="9" t="inlineStr">
        <is>
          <t>リビオタワー品川</t>
        </is>
      </c>
      <c r="C344" s="9" t="inlineStr">
        <is>
          <t>34階</t>
        </is>
      </c>
      <c r="D344" s="9" t="inlineStr">
        <is>
          <t>文言</t>
        </is>
      </c>
      <c r="E344" s="9" t="inlineStr">
        <is>
          <t>【文言】間取り表記：3LDK+3WIC（図面）／3LDK+3WIC+SIC（元付HP）／3LDK+3WIC+SIC+N+TR（間取図）。</t>
        </is>
      </c>
    </row>
    <row r="345">
      <c r="A345" s="9" t="inlineStr">
        <is>
          <t>14</t>
        </is>
      </c>
      <c r="B345" s="9" t="inlineStr">
        <is>
          <t>リビオタワー品川</t>
        </is>
      </c>
      <c r="C345" s="9" t="inlineStr">
        <is>
          <t>34階</t>
        </is>
      </c>
      <c r="D345" s="9" t="inlineStr">
        <is>
          <t>文言</t>
        </is>
      </c>
      <c r="E345" s="9" t="inlineStr">
        <is>
          <t>【文言】管理会社名：図面は旧社名「株式会社日鉄コミュニティ」。2026年1月5日に「日鉄興和不動産コミュニティ株式会社」へ商号変更。新社名で入力。</t>
        </is>
      </c>
    </row>
    <row r="346">
      <c r="A346" s="9" t="inlineStr">
        <is>
          <t>14</t>
        </is>
      </c>
      <c r="B346" s="9" t="inlineStr">
        <is>
          <t>リビオタワー品川</t>
        </is>
      </c>
      <c r="C346" s="9" t="inlineStr">
        <is>
          <t>34階</t>
        </is>
      </c>
      <c r="D346" s="9" t="inlineStr">
        <is>
          <t>文言</t>
        </is>
      </c>
      <c r="E346" s="9" t="inlineStr">
        <is>
          <t>【文言】管理員：図面「常駐」／公式「24時間有人管理」／東急リバブル「日勤」。「常駐（24時間有人管理）」で入力。</t>
        </is>
      </c>
    </row>
    <row r="347">
      <c r="A347" s="9" t="inlineStr">
        <is>
          <t>14</t>
        </is>
      </c>
      <c r="B347" s="9" t="inlineStr">
        <is>
          <t>リビオタワー品川</t>
        </is>
      </c>
      <c r="C347" s="9" t="inlineStr">
        <is>
          <t>34階</t>
        </is>
      </c>
      <c r="D347" s="9" t="inlineStr">
        <is>
          <t>文言</t>
        </is>
      </c>
      <c r="E347" s="9" t="inlineStr">
        <is>
          <t>【文言】所在地：図面の「港南三丁目7番2」は地番（公式が地番と明記）。住居表示は未確認（参考：港南3-4、第三者サイト）。</t>
        </is>
      </c>
    </row>
    <row r="348">
      <c r="A348" s="9" t="inlineStr">
        <is>
          <t>14</t>
        </is>
      </c>
      <c r="B348" s="9" t="inlineStr">
        <is>
          <t>リビオタワー品川</t>
        </is>
      </c>
      <c r="C348" s="9" t="inlineStr">
        <is>
          <t>34階</t>
        </is>
      </c>
      <c r="D348" s="9" t="inlineStr">
        <is>
          <t>文言</t>
        </is>
      </c>
      <c r="E348" s="9" t="inlineStr">
        <is>
          <t>【文言】専有面積の壁芯・内法の別は図面に記載なし。</t>
        </is>
      </c>
    </row>
    <row r="349">
      <c r="A349" s="9" t="inlineStr">
        <is>
          <t>14</t>
        </is>
      </c>
      <c r="B349" s="9" t="inlineStr">
        <is>
          <t>リビオタワー品川</t>
        </is>
      </c>
      <c r="C349" s="9" t="inlineStr">
        <is>
          <t>34階</t>
        </is>
      </c>
      <c r="D349" s="9" t="inlineStr">
        <is>
          <t>文言</t>
        </is>
      </c>
      <c r="E349" s="9" t="inlineStr">
        <is>
          <t>【文言】現売主：分譲時の売主は5社JV。本住戸の現在の売主（転売の場合の属性）は未確認。図面に「司法書士売主指定」の記載あり。</t>
        </is>
      </c>
    </row>
    <row r="350">
      <c r="A350" s="9" t="inlineStr">
        <is>
          <t>14</t>
        </is>
      </c>
      <c r="B350" s="9" t="inlineStr">
        <is>
          <t>リビオタワー品川</t>
        </is>
      </c>
      <c r="C350" s="9" t="inlineStr">
        <is>
          <t>34階</t>
        </is>
      </c>
      <c r="D350" s="9" t="inlineStr">
        <is>
          <t>数値（図面値で入力）</t>
        </is>
      </c>
      <c r="E350" s="9" t="inlineStr">
        <is>
          <t>【数値・図面値で入力】購入時一時金（修繕積立一時金1,302,400円・管理準備金52,090円、分譲時の附表値）は図面に記載がないため入力していない。本取引で発生するか未確認。</t>
        </is>
      </c>
    </row>
    <row r="351">
      <c r="A351" s="9" t="inlineStr">
        <is>
          <t>14</t>
        </is>
      </c>
      <c r="B351" s="9" t="inlineStr">
        <is>
          <t>リビオタワー品川</t>
        </is>
      </c>
      <c r="C351" s="9" t="inlineStr">
        <is>
          <t>34階</t>
        </is>
      </c>
      <c r="D351" s="9" t="inlineStr">
        <is>
          <t>文言</t>
        </is>
      </c>
      <c r="E351" s="9" t="inlineStr">
        <is>
          <t>【文言】図面上の広告掲載表記：「可（但し要連絡）」。掲載前に元付（アンドデザイン）へ連絡が必要。</t>
        </is>
      </c>
    </row>
    <row r="352">
      <c r="A352" s="9" t="inlineStr">
        <is>
          <t>14</t>
        </is>
      </c>
      <c r="B352" s="9" t="inlineStr">
        <is>
          <t>リビオタワー品川</t>
        </is>
      </c>
      <c r="C352" s="9" t="inlineStr">
        <is>
          <t>34階</t>
        </is>
      </c>
      <c r="D352" s="9" t="inlineStr">
        <is>
          <t>文言</t>
        </is>
      </c>
      <c r="E352" s="9" t="inlineStr">
        <is>
          <t>【文言】間取図：元付HP floorplan.jpg の「社内資料・計画段階」表記と全住戸配置表を除くため、住戸部分だけをトリミングした 34階/間取図/02_間取図_住戸部分.jpg に差し替えた（Readで確認済み、photos.csv 追記済み）。元画像は images_excluded。</t>
        </is>
      </c>
    </row>
    <row r="353">
      <c r="A353" s="9" t="inlineStr">
        <is>
          <t>14</t>
        </is>
      </c>
      <c r="B353" s="9" t="inlineStr">
        <is>
          <t>リビオタワー品川</t>
        </is>
      </c>
      <c r="C353" s="9" t="inlineStr">
        <is>
          <t>34階</t>
        </is>
      </c>
      <c r="D353" s="9" t="inlineStr">
        <is>
          <t>文言</t>
        </is>
      </c>
      <c r="E353" s="9" t="inlineStr">
        <is>
          <t>【文言】共用部05_エントランスは「内覧会」看板が写っていたため、トリミング版（共用部/05_エントランス_トリミング.jpg）に差し替えた。内覧会時の生花は残っている。</t>
        </is>
      </c>
    </row>
    <row r="354">
      <c r="A354" s="9" t="inlineStr">
        <is>
          <t>14</t>
        </is>
      </c>
      <c r="B354" s="9" t="inlineStr">
        <is>
          <t>リビオタワー品川</t>
        </is>
      </c>
      <c r="C354" s="9" t="inlineStr">
        <is>
          <t>34階</t>
        </is>
      </c>
      <c r="D354" s="9" t="inlineStr">
        <is>
          <t>文言</t>
        </is>
      </c>
      <c r="E354" s="9" t="inlineStr">
        <is>
          <t>【文言】1枚目を街路からの01_外観（看板・消防車が写る）から、植栽と館銘石の02_外観2に変更。01は共用部の先頭に回した。</t>
        </is>
      </c>
    </row>
    <row r="355">
      <c r="A355" s="9" t="inlineStr">
        <is>
          <t>14</t>
        </is>
      </c>
      <c r="B355" s="9" t="inlineStr">
        <is>
          <t>リビオタワー品川</t>
        </is>
      </c>
      <c r="C355" s="9" t="inlineStr">
        <is>
          <t>34階</t>
        </is>
      </c>
      <c r="D355" s="9" t="inlineStr">
        <is>
          <t>文言</t>
        </is>
      </c>
      <c r="E355" s="9" t="inlineStr">
        <is>
          <t>【文言】共用部26_内廊下の写真は中身がエレベーターホールだったため、カテゴリ・コメントをエレベーターホールに直した。</t>
        </is>
      </c>
    </row>
    <row r="356">
      <c r="A356" s="9" t="inlineStr">
        <is>
          <t>14</t>
        </is>
      </c>
      <c r="B356" s="9" t="inlineStr">
        <is>
          <t>リビオタワー品川</t>
        </is>
      </c>
      <c r="C356" s="9" t="inlineStr">
        <is>
          <t>34階</t>
        </is>
      </c>
      <c r="D356" s="9" t="inlineStr">
        <is>
          <t>文言</t>
        </is>
      </c>
      <c r="E356" s="9" t="inlineStr">
        <is>
          <t>【文言】写真04_眺望2と05_眺望3はほぼ同じ構図（解像度違い）。05を眺望の最後に置いた。枚数を絞る場合は05を外す。</t>
        </is>
      </c>
    </row>
    <row r="357">
      <c r="A357" s="9" t="inlineStr">
        <is>
          <t>14</t>
        </is>
      </c>
      <c r="B357" s="9" t="inlineStr">
        <is>
          <t>リビオタワー品川</t>
        </is>
      </c>
      <c r="C357" s="9" t="inlineStr">
        <is>
          <t>34階</t>
        </is>
      </c>
      <c r="D357" s="9" t="inlineStr">
        <is>
          <t>文言</t>
        </is>
      </c>
      <c r="E357" s="9" t="inlineStr">
        <is>
          <t>【文言】共用部13_大階段・16_スカイラウンジ・17_スカイラウンジ眺望に人物が写っている。気になる場合は外すかぼかし。</t>
        </is>
      </c>
    </row>
    <row r="358">
      <c r="A358" s="9" t="inlineStr">
        <is>
          <t>14</t>
        </is>
      </c>
      <c r="B358" s="9" t="inlineStr">
        <is>
          <t>リビオタワー品川</t>
        </is>
      </c>
      <c r="C358" s="9" t="inlineStr">
        <is>
          <t>34階</t>
        </is>
      </c>
      <c r="D358" s="9" t="inlineStr">
        <is>
          <t>文言</t>
        </is>
      </c>
      <c r="E358" s="9" t="inlineStr">
        <is>
          <t>【文言】共用部27_外観夜景CGは完成予想CGのため掲載から外した（images_excluded）。34階/_除外_該当住戸外/ の眺望イメージ2枚も対象外。</t>
        </is>
      </c>
    </row>
    <row r="359">
      <c r="A359" s="9" t="inlineStr">
        <is>
          <t>14</t>
        </is>
      </c>
      <c r="B359" s="9" t="inlineStr">
        <is>
          <t>リビオタワー品川</t>
        </is>
      </c>
      <c r="C359" s="9" t="inlineStr">
        <is>
          <t>34階</t>
        </is>
      </c>
      <c r="D359" s="9" t="inlineStr">
        <is>
          <t>文言</t>
        </is>
      </c>
      <c r="E359" s="9" t="inlineStr">
        <is>
          <t>【文言】室内の浴室・洗面・トイレ・玄関・洋室・WICは静止画がない（元付HPの360°ツアーのみ）。元付に静止画の提供を依頼するとよい。</t>
        </is>
      </c>
    </row>
    <row r="360">
      <c r="A360" s="9" t="inlineStr">
        <is>
          <t>14</t>
        </is>
      </c>
      <c r="B360" s="9" t="inlineStr">
        <is>
          <t>リビオタワー品川</t>
        </is>
      </c>
      <c r="C360" s="9" t="inlineStr">
        <is>
          <t>34階</t>
        </is>
      </c>
      <c r="D360" s="9" t="inlineStr">
        <is>
          <t>文言</t>
        </is>
      </c>
      <c r="E360" s="9" t="inlineStr">
        <is>
          <t>【文言】要許可の間取図（ウィル描き起こし）は「LDK約15.1帖」の表記が元付間取図と合わない。使わないのが安全。</t>
        </is>
      </c>
    </row>
    <row r="361">
      <c r="A361" s="9" t="inlineStr">
        <is>
          <t>14</t>
        </is>
      </c>
      <c r="B361" s="9" t="inlineStr">
        <is>
          <t>リビオタワー品川</t>
        </is>
      </c>
      <c r="C361" s="9" t="inlineStr">
        <is>
          <t>34階</t>
        </is>
      </c>
      <c r="D361" s="9" t="inlineStr">
        <is>
          <t>文言</t>
        </is>
      </c>
      <c r="E361" s="9" t="inlineStr">
        <is>
          <t>【文言】ハザード：港区高潮浸水ハザードマップで港南三丁目の大部分が0.5m未満、液状化は区分未確認。広告文には書いていない。重説で要確認。</t>
        </is>
      </c>
    </row>
    <row r="362">
      <c r="A362" s="9" t="inlineStr">
        <is>
          <t>14</t>
        </is>
      </c>
      <c r="B362" s="9" t="inlineStr">
        <is>
          <t>リビオタワー品川</t>
        </is>
      </c>
      <c r="C362" s="9" t="inlineStr">
        <is>
          <t>34階</t>
        </is>
      </c>
      <c r="D362" s="9" t="inlineStr">
        <is>
          <t>推測入力</t>
        </is>
      </c>
      <c r="E362" s="9" t="inlineStr">
        <is>
          <t>設備チェック「システムキッチン」：キッチン写真（07〜10）の造作から推測。</t>
        </is>
      </c>
    </row>
    <row r="363">
      <c r="A363" s="9" t="inlineStr">
        <is>
          <t>14</t>
        </is>
      </c>
      <c r="B363" s="9" t="inlineStr">
        <is>
          <t>リビオタワー品川</t>
        </is>
      </c>
      <c r="C363" s="9" t="inlineStr">
        <is>
          <t>34階</t>
        </is>
      </c>
      <c r="D363" s="9" t="inlineStr">
        <is>
          <t>推測入力</t>
        </is>
      </c>
      <c r="E363" s="9" t="inlineStr">
        <is>
          <t>コメントの表現（「湾岸の夜景」「朝の光」「家族それぞれの個室」など）は眺望写真・間取図からの表現上の推測。</t>
        </is>
      </c>
    </row>
    <row r="364">
      <c r="A364" s="9" t="inlineStr">
        <is>
          <t>14</t>
        </is>
      </c>
      <c r="B364" s="9" t="inlineStr">
        <is>
          <t>リビオタワー品川</t>
        </is>
      </c>
      <c r="C364" s="9" t="inlineStr">
        <is>
          <t>34階</t>
        </is>
      </c>
      <c r="D364" s="9" t="inlineStr">
        <is>
          <t>推測入力</t>
        </is>
      </c>
      <c r="E364" s="9" t="inlineStr">
        <is>
          <t>画像カテゴリ：車寄せ・館銘板・エントランス夜景は「エントランス」、エントランスラウンジ・大階段・吹抜けは「ロビー」、その他の共用施設は「その他共用部分」を選択。</t>
        </is>
      </c>
    </row>
    <row r="365">
      <c r="A365" s="9" t="inlineStr">
        <is>
          <t>14</t>
        </is>
      </c>
      <c r="B365" s="9" t="inlineStr">
        <is>
          <t>リビオタワー品川</t>
        </is>
      </c>
      <c r="C365" s="9" t="inlineStr">
        <is>
          <t>34階</t>
        </is>
      </c>
      <c r="D365" s="9" t="inlineStr">
        <is>
          <t>推測入力</t>
        </is>
      </c>
      <c r="E365" s="9" t="inlineStr">
        <is>
          <t>写真18_ラウンジがどの階のラウンジか（2Fオーナーズラウンジ等）は特定できないため、コメントでは階を書いていない。</t>
        </is>
      </c>
    </row>
    <row r="366">
      <c r="A366" s="9" t="inlineStr">
        <is>
          <t>14</t>
        </is>
      </c>
      <c r="B366" s="9" t="inlineStr">
        <is>
          <t>リビオタワー品川</t>
        </is>
      </c>
      <c r="C366" s="9" t="inlineStr">
        <is>
          <t>34階</t>
        </is>
      </c>
      <c r="D366" s="9" t="inlineStr">
        <is>
          <t>推測入力</t>
        </is>
      </c>
      <c r="E366" s="9" t="inlineStr">
        <is>
          <t>写真19_キッチンラウンジと20_ワークラウンジは同じ空間（1Fワークラウンジ）を別角度から撮ったものと判断。</t>
        </is>
      </c>
    </row>
    <row r="367">
      <c r="A367" s="9" t="inlineStr">
        <is>
          <t>15</t>
        </is>
      </c>
      <c r="B367" s="9" t="inlineStr">
        <is>
          <t>パークコート北青山</t>
        </is>
      </c>
      <c r="C367" s="9" t="inlineStr">
        <is>
          <t>5階</t>
        </is>
      </c>
      <c r="D367" s="9" t="inlineStr">
        <is>
          <t>数値（図面値で入力）</t>
        </is>
      </c>
      <c r="E367" s="9" t="inlineStr">
        <is>
          <t>【数値・図面値で入力】修繕積立金：図面の33,550円で入力（他の値：30,500円＝KEN・リハウス・ノムコム・PLAZA・SUUMOの5社）。改定や別項目の合算の可能性あり、元付（葵開発）に確認。</t>
        </is>
      </c>
    </row>
    <row r="368">
      <c r="A368" s="9" t="inlineStr">
        <is>
          <t>15</t>
        </is>
      </c>
      <c r="B368" s="9" t="inlineStr">
        <is>
          <t>パークコート北青山</t>
        </is>
      </c>
      <c r="C368" s="9" t="inlineStr">
        <is>
          <t>5階</t>
        </is>
      </c>
      <c r="D368" s="9" t="inlineStr">
        <is>
          <t>数値（図面値で入力）</t>
        </is>
      </c>
      <c r="E368" s="9" t="inlineStr">
        <is>
          <t>【数値・図面値で入力】築年月：図面の2025年3月で入力（他の値：2025年5月＝分譲会社リリース・リハウス・SUUMO／2025年6月＝KEN・三井の賃貸等。旧入力は⑤採用候補の2025年5月）。コメント内も「2025年3月竣工」に統一。</t>
        </is>
      </c>
    </row>
    <row r="369">
      <c r="A369" s="9" t="inlineStr">
        <is>
          <t>15</t>
        </is>
      </c>
      <c r="B369" s="9" t="inlineStr">
        <is>
          <t>パークコート北青山</t>
        </is>
      </c>
      <c r="C369" s="9" t="inlineStr">
        <is>
          <t>5階</t>
        </is>
      </c>
      <c r="D369" s="9" t="inlineStr">
        <is>
          <t>文言</t>
        </is>
      </c>
      <c r="E369" s="9" t="inlineStr">
        <is>
          <t>【文言】向き：南西（リハウス・SUUMO）／北西（KEN・PLAZA）／西（ノムコム、図面の方位記号の目視）。⑤採用候補の「西」で入力、要確認。</t>
        </is>
      </c>
    </row>
    <row r="370">
      <c r="A370" s="9" t="inlineStr">
        <is>
          <t>15</t>
        </is>
      </c>
      <c r="B370" s="9" t="inlineStr">
        <is>
          <t>パークコート北青山</t>
        </is>
      </c>
      <c r="C370" s="9" t="inlineStr">
        <is>
          <t>5階</t>
        </is>
      </c>
      <c r="D370" s="9" t="inlineStr">
        <is>
          <t>数値（図面値で入力）</t>
        </is>
      </c>
      <c r="E370" s="9" t="inlineStr">
        <is>
          <t>【数値・図面値で入力】敷地面積：図面の地積790.96㎡で入力（他の値：敷地面積790.99㎡＝分譲会社リリース）。</t>
        </is>
      </c>
    </row>
    <row r="371">
      <c r="A371" s="9" t="inlineStr">
        <is>
          <t>15</t>
        </is>
      </c>
      <c r="B371" s="9" t="inlineStr">
        <is>
          <t>パークコート北青山</t>
        </is>
      </c>
      <c r="C371" s="9" t="inlineStr">
        <is>
          <t>5階</t>
        </is>
      </c>
      <c r="D371" s="9" t="inlineStr">
        <is>
          <t>文言</t>
        </is>
      </c>
      <c r="E371" s="9" t="inlineStr">
        <is>
          <t>【文言】顔認証とPabbit：図面「顔認証システム採用（Pabbit）」／分譲会社リリースではPabbitは荷物認証式の宅配サービス。コメントでは顔認証とDXロッカーを分けて書いた。</t>
        </is>
      </c>
    </row>
    <row r="372">
      <c r="A372" s="9" t="inlineStr">
        <is>
          <t>15</t>
        </is>
      </c>
      <c r="B372" s="9" t="inlineStr">
        <is>
          <t>パークコート北青山</t>
        </is>
      </c>
      <c r="C372" s="9" t="inlineStr">
        <is>
          <t>5階</t>
        </is>
      </c>
      <c r="D372" s="9" t="inlineStr">
        <is>
          <t>文言</t>
        </is>
      </c>
      <c r="E372" s="9" t="inlineStr">
        <is>
          <t>【文言】元付（葵開発）に自社HPの掲載がない。許可済み画像は販売図面から切り出した6枚（外観・間取図・LDK・眺望・洗面・浴室）のみ。キッチン・居室・玄関・トイレ・バルコニー・共用部の写真はすべて要許可。</t>
        </is>
      </c>
    </row>
    <row r="373">
      <c r="A373" s="9" t="inlineStr">
        <is>
          <t>15</t>
        </is>
      </c>
      <c r="B373" s="9" t="inlineStr">
        <is>
          <t>パークコート北青山</t>
        </is>
      </c>
      <c r="C373" s="9" t="inlineStr">
        <is>
          <t>5階</t>
        </is>
      </c>
      <c r="D373" s="9" t="inlineStr">
        <is>
          <t>文言</t>
        </is>
      </c>
      <c r="E373" s="9" t="inlineStr">
        <is>
          <t>【文言】要許可のうち共用部14枚は分譲会社の公式物件サイト（31mansion.com）由来。残り101枚は他社掲載（KEN・リハウス・ノムコム・PLAZA HOMES）。KEN由来は透かし有、リハウスのLD・洋室の一部は家具配置例（家具は価格に含まない）。 要許可画像の「（透かし有・差替要）」「（他社作成）」の注記は comment から外し、watermark:true と note に移した。</t>
        </is>
      </c>
    </row>
    <row r="374">
      <c r="A374" s="9" t="inlineStr">
        <is>
          <t>15</t>
        </is>
      </c>
      <c r="B374" s="9" t="inlineStr">
        <is>
          <t>パークコート北青山</t>
        </is>
      </c>
      <c r="C374" s="9" t="inlineStr">
        <is>
          <t>5階</t>
        </is>
      </c>
      <c r="D374" s="9" t="inlineStr">
        <is>
          <t>文言</t>
        </is>
      </c>
      <c r="E374" s="9" t="inlineStr">
        <is>
          <t>【文言】図面から切り出した写真（浴室・洗面・眺望）に入っていた図面上の文字「浴室」「洗面」「眺望」は、PILでトリミングした派生ファイル（*_文字除去.jpg）に差し替えて除いた（Readで確認済み、photos.csv 追記済み）。元画像は images_excluded。</t>
        </is>
      </c>
    </row>
    <row r="375">
      <c r="A375" s="9" t="inlineStr">
        <is>
          <t>15</t>
        </is>
      </c>
      <c r="B375" s="9" t="inlineStr">
        <is>
          <t>パークコート北青山</t>
        </is>
      </c>
      <c r="C375" s="9" t="inlineStr">
        <is>
          <t>5階</t>
        </is>
      </c>
      <c r="D375" s="9" t="inlineStr">
        <is>
          <t>文言</t>
        </is>
      </c>
      <c r="E375" s="9" t="inlineStr">
        <is>
          <t>【文言】共用部のファイル名と中身が違うもの：共用部/02_外観2.jpg は館銘板、共用部/14_館銘板.jpg は外観（ゲートウォールの夕景）。カテゴリとコメントは中身に合わせた。</t>
        </is>
      </c>
    </row>
    <row r="376">
      <c r="A376" s="9" t="inlineStr">
        <is>
          <t>15</t>
        </is>
      </c>
      <c r="B376" s="9" t="inlineStr">
        <is>
          <t>パークコート北青山</t>
        </is>
      </c>
      <c r="C376" s="9" t="inlineStr">
        <is>
          <t>5階</t>
        </is>
      </c>
      <c r="D376" s="9" t="inlineStr">
        <is>
          <t>文言</t>
        </is>
      </c>
      <c r="E376" s="9" t="inlineStr">
        <is>
          <t>【文言】販売図面のキャッチコピー「希少性ある北青山アドレス」は禁止語を含むため使っていない。</t>
        </is>
      </c>
    </row>
    <row r="377">
      <c r="A377" s="9" t="inlineStr">
        <is>
          <t>15</t>
        </is>
      </c>
      <c r="B377" s="9" t="inlineStr">
        <is>
          <t>パークコート北青山</t>
        </is>
      </c>
      <c r="C377" s="9" t="inlineStr">
        <is>
          <t>5階</t>
        </is>
      </c>
      <c r="D377" s="9" t="inlineStr">
        <is>
          <t>文言</t>
        </is>
      </c>
      <c r="E377" s="9" t="inlineStr">
        <is>
          <t>【文言】KENのみ記載の「ディスポーザー」「コンシェルジュサービス」、他社のみ記載の3駅目（青山一丁目）は、根拠が弱いため入れていない。</t>
        </is>
      </c>
    </row>
    <row r="378">
      <c r="A378" s="9" t="inlineStr">
        <is>
          <t>15</t>
        </is>
      </c>
      <c r="B378" s="9" t="inlineStr">
        <is>
          <t>パークコート北青山</t>
        </is>
      </c>
      <c r="C378" s="9" t="inlineStr">
        <is>
          <t>5階</t>
        </is>
      </c>
      <c r="D378" s="9" t="inlineStr">
        <is>
          <t>文言</t>
        </is>
      </c>
      <c r="E378" s="9" t="inlineStr">
        <is>
          <t>【文言】内覧は立会いが必要（図面「案内要立会い」）。</t>
        </is>
      </c>
    </row>
    <row r="379">
      <c r="A379" s="9" t="inlineStr">
        <is>
          <t>15</t>
        </is>
      </c>
      <c r="B379" s="9" t="inlineStr">
        <is>
          <t>パークコート北青山</t>
        </is>
      </c>
      <c r="C379" s="9" t="inlineStr">
        <is>
          <t>5階</t>
        </is>
      </c>
      <c r="D379" s="9" t="inlineStr">
        <is>
          <t>文言</t>
        </is>
      </c>
      <c r="E379" s="9" t="inlineStr">
        <is>
          <t>【文言】図面上の広告可否表記は「記載なし」（取引態様：売主）。依頼者指示により承諾取得済として作成。</t>
        </is>
      </c>
    </row>
    <row r="380">
      <c r="A380" s="9" t="inlineStr">
        <is>
          <t>15</t>
        </is>
      </c>
      <c r="B380" s="9" t="inlineStr">
        <is>
          <t>パークコート北青山</t>
        </is>
      </c>
      <c r="C380" s="9" t="inlineStr">
        <is>
          <t>5階</t>
        </is>
      </c>
      <c r="D380" s="9" t="inlineStr">
        <is>
          <t>推測入力</t>
        </is>
      </c>
      <c r="E380" s="9" t="inlineStr">
        <is>
          <t>設備チェック「温水洗浄便座」：他社掲載のトイレ写真（29・30・41）から推測。</t>
        </is>
      </c>
    </row>
    <row r="381">
      <c r="A381" s="9" t="inlineStr">
        <is>
          <t>15</t>
        </is>
      </c>
      <c r="B381" s="9" t="inlineStr">
        <is>
          <t>パークコート北青山</t>
        </is>
      </c>
      <c r="C381" s="9" t="inlineStr">
        <is>
          <t>5階</t>
        </is>
      </c>
      <c r="D381" s="9" t="inlineStr">
        <is>
          <t>推測入力</t>
        </is>
      </c>
      <c r="E381" s="9" t="inlineStr">
        <is>
          <t>設備チェック「低層マンション／小規模マンション」：地上10階建・総戸数28戸から選択（21Cloudの項目名に合わせて選ぶ）。</t>
        </is>
      </c>
    </row>
    <row r="382">
      <c r="A382" s="9" t="inlineStr">
        <is>
          <t>15</t>
        </is>
      </c>
      <c r="B382" s="9" t="inlineStr">
        <is>
          <t>パークコート北青山</t>
        </is>
      </c>
      <c r="C382" s="9" t="inlineStr">
        <is>
          <t>5階</t>
        </is>
      </c>
      <c r="D382" s="9" t="inlineStr">
        <is>
          <t>推測入力</t>
        </is>
      </c>
      <c r="E382" s="9" t="inlineStr">
        <is>
          <t>コメントの表現（「曲面の窓に沿って家具を置ける」「帰宅のたびに緑に迎えられる」など）は写真と間取図からの表現上の推測。</t>
        </is>
      </c>
    </row>
    <row r="383">
      <c r="A383" s="9" t="inlineStr">
        <is>
          <t>15</t>
        </is>
      </c>
      <c r="B383" s="9" t="inlineStr">
        <is>
          <t>パークコート北青山</t>
        </is>
      </c>
      <c r="C383" s="9" t="inlineStr">
        <is>
          <t>5階</t>
        </is>
      </c>
      <c r="D383" s="9" t="inlineStr">
        <is>
          <t>推測入力</t>
        </is>
      </c>
      <c r="E383" s="9" t="inlineStr">
        <is>
          <t>要許可写真のコメントは部位ごとの共通文を使った（同じ部位の写真は同じ文になっているものがある）。許可が取れて使う写真だけ、必要に応じて書き分ける。</t>
        </is>
      </c>
    </row>
    <row r="384">
      <c r="A384" s="9" t="inlineStr">
        <is>
          <t>15</t>
        </is>
      </c>
      <c r="B384" s="9" t="inlineStr">
        <is>
          <t>パークコート北青山</t>
        </is>
      </c>
      <c r="C384" s="9" t="inlineStr">
        <is>
          <t>5階</t>
        </is>
      </c>
      <c r="D384" s="9" t="inlineStr">
        <is>
          <t>推測入力</t>
        </is>
      </c>
      <c r="E384" s="9" t="inlineStr">
        <is>
          <t>要許可の洋室写真（42〜47・56〜58）がRoom2・Room3のどちらかは特定していない。44・45は窓の数と広さから主寝室と判断し「寝室」カテゴリにした。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2026-09-27T11:08:02Z</dcterms:created>
  <dcterms:modified xmlns:dcterms="http://purl.org/dc/terms/" xmlns:xsi="http://www.w3.org/2001/XMLSchema-instance" xsi:type="dcterms:W3CDTF">2026-09-27T11:08:02Z</dcterms:modified>
</cp:coreProperties>
</file>