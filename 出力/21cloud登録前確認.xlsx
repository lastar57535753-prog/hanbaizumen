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登録前確認" sheetId="1" state="visible" r:id="rId1"/>
    <sheet xmlns:r="http://schemas.openxmlformats.org/officeDocument/2006/relationships" name="食い違い・確認事項"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Hiragino Sans"/>
      <b val="1"/>
      <sz val="14"/>
    </font>
    <font>
      <name val="Hiragino Sans"/>
      <sz val="10"/>
    </font>
    <font>
      <name val="Hiragino Sans"/>
      <b val="1"/>
      <color rgb="00FFFFFF"/>
      <sz val="10"/>
    </font>
    <font>
      <name val="Hiragino Sans"/>
      <b val="1"/>
      <sz val="10"/>
    </font>
  </fonts>
  <fills count="5">
    <fill>
      <patternFill/>
    </fill>
    <fill>
      <patternFill patternType="gray125"/>
    </fill>
    <fill>
      <patternFill patternType="solid">
        <fgColor rgb="001A2C56"/>
      </patternFill>
    </fill>
    <fill>
      <patternFill patternType="solid">
        <fgColor rgb="00FBF8F2"/>
      </patternFill>
    </fill>
    <fill>
      <patternFill patternType="solid">
        <fgColor rgb="00F8D7D7"/>
      </patternFill>
    </fill>
  </fills>
  <borders count="2">
    <border>
      <left/>
      <right/>
      <top/>
      <bottom/>
      <diagonal/>
    </border>
    <border>
      <left style="thin">
        <color rgb="00C8C8C8"/>
      </left>
      <right style="thin">
        <color rgb="00C8C8C8"/>
      </right>
      <top style="thin">
        <color rgb="00C8C8C8"/>
      </top>
      <bottom style="thin">
        <color rgb="00C8C8C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4" fillId="0" borderId="0" pivotButton="0" quotePrefix="0" xfId="0"/>
    <xf numFmtId="0" fontId="3" fillId="2"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4" customWidth="1" min="3" max="3"/>
    <col width="14" customWidth="1" min="4" max="4"/>
    <col width="11" customWidth="1" min="5" max="5"/>
    <col width="10" customWidth="1" min="6" max="6"/>
    <col width="8" customWidth="1" min="7" max="7"/>
    <col width="8" customWidth="1" min="8" max="8"/>
    <col width="12" customWidth="1" min="9" max="9"/>
    <col width="10" customWidth="1" min="10" max="10"/>
    <col width="60" customWidth="1" min="11" max="11"/>
    <col width="50" customWidth="1" min="12" max="12"/>
  </cols>
  <sheetData>
    <row r="1">
      <c r="A1" s="1" t="inlineStr">
        <is>
          <t>21Cloud 登録前確認一覧（数値は販売図面の値で入力・出稿）</t>
        </is>
      </c>
    </row>
    <row r="2">
      <c r="A2" s="2" t="inlineStr">
        <is>
          <t>写真は元付HP・販売図面由来のみ掲載。要許可写真は転載許可取得後に upload_photos.py --include-pending で追加可。詳細は各住戸の 21cloud入力.md。</t>
        </is>
      </c>
    </row>
    <row r="4">
      <c r="A4" s="3" t="inlineStr">
        <is>
          <t>No</t>
        </is>
      </c>
      <c r="B4" s="3" t="inlineStr">
        <is>
          <t>マンション</t>
        </is>
      </c>
      <c r="C4" s="3" t="inlineStr">
        <is>
          <t>住戸</t>
        </is>
      </c>
      <c r="D4" s="3" t="inlineStr">
        <is>
          <t>価格（図面）</t>
        </is>
      </c>
      <c r="E4" s="3" t="inlineStr">
        <is>
          <t>専有面積</t>
        </is>
      </c>
      <c r="F4" s="3" t="inlineStr">
        <is>
          <t>所在階</t>
        </is>
      </c>
      <c r="G4" s="3" t="inlineStr">
        <is>
          <t>許可済み写真</t>
        </is>
      </c>
      <c r="H4" s="3" t="inlineStr">
        <is>
          <t>要許可写真</t>
        </is>
      </c>
      <c r="I4" s="3" t="inlineStr">
        <is>
          <t>数値の食い違い（図面値で入力）</t>
        </is>
      </c>
      <c r="J4" s="3" t="inlineStr">
        <is>
          <t>文言の確認事項</t>
        </is>
      </c>
      <c r="K4" s="3" t="inlineStr">
        <is>
          <t>at homeおすすめコメント（100字）</t>
        </is>
      </c>
      <c r="L4" s="3" t="inlineStr">
        <is>
          <t>注意</t>
        </is>
      </c>
    </row>
    <row r="5" ht="62" customHeight="1">
      <c r="A5" s="4" t="inlineStr">
        <is>
          <t>01</t>
        </is>
      </c>
      <c r="B5" s="4" t="inlineStr">
        <is>
          <t>高輪ザ・レジデンス</t>
        </is>
      </c>
      <c r="C5" s="4" t="inlineStr">
        <is>
          <t>43階</t>
        </is>
      </c>
      <c r="D5" s="4" t="inlineStr">
        <is>
          <t>89800万円</t>
        </is>
      </c>
      <c r="E5" s="4" t="inlineStr">
        <is>
          <t>224.19㎡（壁芯・登記の別は要確認）</t>
        </is>
      </c>
      <c r="F5" s="4" t="inlineStr">
        <is>
          <t>43階</t>
        </is>
      </c>
      <c r="G5" s="4" t="n">
        <v>51</v>
      </c>
      <c r="H5" s="4" t="n">
        <v>13</v>
      </c>
      <c r="I5" s="4" t="n">
        <v>0</v>
      </c>
      <c r="J5" s="4" t="n">
        <v>20</v>
      </c>
      <c r="K5" s="4" t="inlineStr">
        <is>
          <t>フルリノベーション済みの４３階、専有２２４．１９㎡。約５６．５７帖のＬＤＫにアイランドキッチンとバーカウンターを備えます。バルコニーから富士山を望む（天候による）。浴室２か所。主寝室約１６帖。</t>
        </is>
      </c>
      <c r="L5" s="4" t="inlineStr">
        <is>
          <t>図面に広告掲載の制限表記（承諾取得済みの前提）</t>
        </is>
      </c>
    </row>
    <row r="6" ht="62" customHeight="1">
      <c r="A6" s="5" t="inlineStr">
        <is>
          <t>01</t>
        </is>
      </c>
      <c r="B6" s="5" t="inlineStr">
        <is>
          <t>高輪ザ・レジデンス</t>
        </is>
      </c>
      <c r="C6" s="5" t="inlineStr">
        <is>
          <t>44階</t>
        </is>
      </c>
      <c r="D6" s="5" t="inlineStr">
        <is>
          <t>88700万円</t>
        </is>
      </c>
      <c r="E6" s="5" t="inlineStr">
        <is>
          <t>261.94㎡（壁芯）</t>
        </is>
      </c>
      <c r="F6" s="5" t="inlineStr">
        <is>
          <t>44階</t>
        </is>
      </c>
      <c r="G6" s="5" t="n">
        <v>55</v>
      </c>
      <c r="H6" s="5" t="n">
        <v>7</v>
      </c>
      <c r="I6" s="5" t="n">
        <v>0</v>
      </c>
      <c r="J6" s="5" t="n">
        <v>18</v>
      </c>
      <c r="K6" s="5" t="inlineStr">
        <is>
          <t>４４階東向き、専有２６１．９４㎡。リビングや居室から東京タワー・スカイツリーを望めます（天候による）。約８帖の和室付き。浴室・洗面・トイレ各２か所。空室です。バルコニー３か所。ＬＤ床暖房。玄関２か所。</t>
        </is>
      </c>
      <c r="L6" s="5" t="inlineStr"/>
    </row>
    <row r="7" ht="62" customHeight="1">
      <c r="A7" s="4" t="inlineStr">
        <is>
          <t>01</t>
        </is>
      </c>
      <c r="B7" s="4" t="inlineStr">
        <is>
          <t>高輪ザ・レジデンス</t>
        </is>
      </c>
      <c r="C7" s="4" t="inlineStr">
        <is>
          <t>46-47階</t>
        </is>
      </c>
      <c r="D7" s="4" t="inlineStr">
        <is>
          <t>119000万円</t>
        </is>
      </c>
      <c r="E7" s="4" t="inlineStr">
        <is>
          <t>285.25㎡（壁芯）</t>
        </is>
      </c>
      <c r="F7" s="4" t="inlineStr">
        <is>
          <t>46・47階階（メゾネット・最上階）</t>
        </is>
      </c>
      <c r="G7" s="4" t="n">
        <v>46</v>
      </c>
      <c r="H7" s="4" t="n">
        <v>7</v>
      </c>
      <c r="I7" s="4" t="n">
        <v>0</v>
      </c>
      <c r="J7" s="4" t="n">
        <v>17</v>
      </c>
      <c r="K7" s="4" t="inlineStr">
        <is>
          <t>最上階４６・４７階のメゾネット、専有２８５．２５㎡。約５０帖の吹抜けリビングに、サウナ、ジム、バー、ワインセラーを備えます。２０２４年１月リフォーム完成。南向き角住戸。富士山眺望（天候による）。</t>
        </is>
      </c>
      <c r="L7" s="4" t="inlineStr">
        <is>
          <t>図面に広告掲載の制限表記（承諾取得済みの前提）</t>
        </is>
      </c>
    </row>
    <row r="8" ht="62" customHeight="1">
      <c r="A8" s="5" t="inlineStr">
        <is>
          <t>02</t>
        </is>
      </c>
      <c r="B8" s="5" t="inlineStr">
        <is>
          <t>アクシア青山</t>
        </is>
      </c>
      <c r="C8" s="5" t="inlineStr">
        <is>
          <t>20階</t>
        </is>
      </c>
      <c r="D8" s="5" t="inlineStr">
        <is>
          <t>138000万円</t>
        </is>
      </c>
      <c r="E8" s="5" t="inlineStr">
        <is>
          <t>266.79㎡（壁芯）</t>
        </is>
      </c>
      <c r="F8" s="5" t="inlineStr">
        <is>
          <t>20階</t>
        </is>
      </c>
      <c r="G8" s="5" t="n">
        <v>23</v>
      </c>
      <c r="H8" s="5" t="n">
        <v>1</v>
      </c>
      <c r="I8" s="5" t="n">
        <v>0</v>
      </c>
      <c r="J8" s="5" t="n">
        <v>15</v>
      </c>
      <c r="K8" s="5" t="inlineStr">
        <is>
          <t>上階に住戸のない２０階の角住戸、専有２６６．７９㎡。ルーフテラス４９．８３㎡付き、４面採光の５ＬＤＫです。和室・ファミリールーム付き。トイレ３か所。空家です。青山一丁目駅徒歩４分。</t>
        </is>
      </c>
      <c r="L8" s="5" t="inlineStr"/>
    </row>
    <row r="9" ht="62" customHeight="1">
      <c r="A9" s="4" t="inlineStr">
        <is>
          <t>03</t>
        </is>
      </c>
      <c r="B9" s="4" t="inlineStr">
        <is>
          <t>シティタワー高輪</t>
        </is>
      </c>
      <c r="C9" s="4" t="inlineStr">
        <is>
          <t>34階</t>
        </is>
      </c>
      <c r="D9" s="4" t="inlineStr">
        <is>
          <t>89800万円</t>
        </is>
      </c>
      <c r="E9" s="4" t="inlineStr">
        <is>
          <t>226.12㎡（壁芯）</t>
        </is>
      </c>
      <c r="F9" s="4" t="inlineStr">
        <is>
          <t>34階</t>
        </is>
      </c>
      <c r="G9" s="4" t="n">
        <v>24</v>
      </c>
      <c r="H9" s="4" t="n">
        <v>17</v>
      </c>
      <c r="I9" s="4" t="n">
        <v>0</v>
      </c>
      <c r="J9" s="4" t="n">
        <v>14</v>
      </c>
      <c r="K9" s="4" t="inlineStr">
        <is>
          <t>３４階の北東角住戸、専有２２６．１２㎡。約４６．６帖のＬＤＫから東京タワー方面を望めます（天候による）。２０１７年内装リフォーム済。平置き駐車場の専用使用権付。空室です。ＷＩＣ３か所。</t>
        </is>
      </c>
      <c r="L9" s="4" t="inlineStr">
        <is>
          <t>図面に広告掲載の制限表記（承諾取得済みの前提）</t>
        </is>
      </c>
    </row>
    <row r="10" ht="62" customHeight="1">
      <c r="A10" s="5" t="inlineStr">
        <is>
          <t>04</t>
        </is>
      </c>
      <c r="B10" s="5" t="inlineStr">
        <is>
          <t>パークコート赤坂ザタワー</t>
        </is>
      </c>
      <c r="C10" s="5" t="inlineStr">
        <is>
          <t>4307号室</t>
        </is>
      </c>
      <c r="D10" s="5" t="inlineStr">
        <is>
          <t>188000万円</t>
        </is>
      </c>
      <c r="E10" s="5" t="inlineStr">
        <is>
          <t>218.19㎡</t>
        </is>
      </c>
      <c r="F10" s="5" t="inlineStr">
        <is>
          <t>43階</t>
        </is>
      </c>
      <c r="G10" s="6" t="n">
        <v>2</v>
      </c>
      <c r="H10" s="5" t="n">
        <v>26</v>
      </c>
      <c r="I10" s="5" t="n">
        <v>0</v>
      </c>
      <c r="J10" s="5" t="n">
        <v>20</v>
      </c>
      <c r="K10" s="5" t="inlineStr">
        <is>
          <t>地上４３階建の最上階、赤坂御所の緑を望む２１８．１９㎡の３ＬＤＫ。２０２５年１月フルリノベーション完成、ＬＤＫ約５０．３帖、ミーレ製ビルトイン設備、平置駐車場２台分の専用使用権付き。</t>
        </is>
      </c>
      <c r="L10" s="5" t="inlineStr">
        <is>
          <t>掲載写真が少ない（2枚）／図面に広告掲載の制限表記（承諾取得済みの前提）</t>
        </is>
      </c>
    </row>
    <row r="11" ht="62" customHeight="1">
      <c r="A11" s="4" t="inlineStr">
        <is>
          <t>05</t>
        </is>
      </c>
      <c r="B11" s="4" t="inlineStr">
        <is>
          <t>レフィール南麻布</t>
        </is>
      </c>
      <c r="C11" s="4" t="inlineStr">
        <is>
          <t>3-4階</t>
        </is>
      </c>
      <c r="D11" s="4" t="inlineStr">
        <is>
          <t>238000万円</t>
        </is>
      </c>
      <c r="E11" s="4" t="inlineStr">
        <is>
          <t>215.65㎡</t>
        </is>
      </c>
      <c r="F11" s="4" t="inlineStr">
        <is>
          <t>3階</t>
        </is>
      </c>
      <c r="G11" s="6" t="n">
        <v>0</v>
      </c>
      <c r="H11" s="4" t="n">
        <v>64</v>
      </c>
      <c r="I11" s="4" t="n">
        <v>0</v>
      </c>
      <c r="J11" s="4" t="n">
        <v>16</v>
      </c>
      <c r="K11" s="4" t="inlineStr">
        <is>
          <t>南麻布四丁目の高台に建つ全１８戸の低層レジデンス。最上階を含む３・４階メゾネット、専有２１５．６５㎡、約５２㎡のルーフバルコニー付き。２０２６年６月内装リフォーム完成、ペット飼育可（細則有）。</t>
        </is>
      </c>
      <c r="L11" s="4" t="inlineStr">
        <is>
          <t>掲載写真が少ない（0枚）</t>
        </is>
      </c>
    </row>
    <row r="12" ht="62" customHeight="1">
      <c r="A12" s="5" t="inlineStr">
        <is>
          <t>06</t>
        </is>
      </c>
      <c r="B12" s="5" t="inlineStr">
        <is>
          <t>アークヒルズ仙石山レジデンス</t>
        </is>
      </c>
      <c r="C12" s="5" t="inlineStr">
        <is>
          <t>18階</t>
        </is>
      </c>
      <c r="D12" s="5" t="inlineStr">
        <is>
          <t>190000万円</t>
        </is>
      </c>
      <c r="E12" s="5" t="inlineStr">
        <is>
          <t>210.31㎡</t>
        </is>
      </c>
      <c r="F12" s="5" t="inlineStr">
        <is>
          <t>18階</t>
        </is>
      </c>
      <c r="G12" s="5" t="n">
        <v>48</v>
      </c>
      <c r="H12" s="5" t="n">
        <v>1</v>
      </c>
      <c r="I12" s="5" t="n">
        <v>0</v>
      </c>
      <c r="J12" s="5" t="n">
        <v>16</v>
      </c>
      <c r="K12" s="5" t="inlineStr">
        <is>
          <t>森ビル旧分譲、東京タワーを望む１８階北東・南東角住戸。専有面積２１０．３１㎡の４ＬＤＫ、ＬＤ約３５．８帖、三面バルコニー、２バス・３トイレ。バイリンガル対応フロント、２４時間有人管理。</t>
        </is>
      </c>
      <c r="L12" s="5" t="inlineStr"/>
    </row>
    <row r="13" ht="62" customHeight="1">
      <c r="A13" s="4" t="inlineStr">
        <is>
          <t>07</t>
        </is>
      </c>
      <c r="B13" s="4" t="inlineStr">
        <is>
          <t>元麻布ヒルズフォレストタワー</t>
        </is>
      </c>
      <c r="C13" s="4" t="inlineStr">
        <is>
          <t>24階</t>
        </is>
      </c>
      <c r="D13" s="4" t="inlineStr">
        <is>
          <t>208000万円</t>
        </is>
      </c>
      <c r="E13" s="4" t="inlineStr">
        <is>
          <t>198.64㎡</t>
        </is>
      </c>
      <c r="F13" s="4" t="inlineStr">
        <is>
          <t>24階</t>
        </is>
      </c>
      <c r="G13" s="6" t="n">
        <v>3</v>
      </c>
      <c r="H13" s="4" t="n">
        <v>7</v>
      </c>
      <c r="I13" s="4" t="n">
        <v>0</v>
      </c>
      <c r="J13" s="4" t="n">
        <v>13</v>
      </c>
      <c r="K13" s="4" t="inlineStr">
        <is>
          <t>森ビル分譲「元麻布ヒルズフォレストタワー」２４階。専有約１９８㎡、ＬＤＫ約３９．９帖と主寝室約１８．１帖の３ＬＤＫ。３方向バルコニーと浴室２か所。２４時間バイリンガルフロント。空室。</t>
        </is>
      </c>
      <c r="L13" s="4" t="inlineStr">
        <is>
          <t>掲載写真が少ない（3枚）</t>
        </is>
      </c>
    </row>
    <row r="14" ht="62" customHeight="1">
      <c r="A14" s="5" t="inlineStr">
        <is>
          <t>08</t>
        </is>
      </c>
      <c r="B14" s="5" t="inlineStr">
        <is>
          <t>元麻布ヒルズ フォレストテラスイースト</t>
        </is>
      </c>
      <c r="C14" s="5" t="inlineStr">
        <is>
          <t>3階</t>
        </is>
      </c>
      <c r="D14" s="5" t="inlineStr">
        <is>
          <t>150000万円</t>
        </is>
      </c>
      <c r="E14" s="5" t="inlineStr">
        <is>
          <t>191.91㎡</t>
        </is>
      </c>
      <c r="F14" s="5" t="inlineStr">
        <is>
          <t>3階</t>
        </is>
      </c>
      <c r="G14" s="5" t="n">
        <v>23</v>
      </c>
      <c r="H14" s="5" t="n">
        <v>2</v>
      </c>
      <c r="I14" s="5" t="n">
        <v>0</v>
      </c>
      <c r="J14" s="5" t="n">
        <v>16</v>
      </c>
      <c r="K14" s="5" t="inlineStr">
        <is>
          <t>森ビル分譲・竹中工務店施工の元麻布ヒルズ低層棟３階。南東向きでＬＤ約３２．７帖、２面バルコニーの３ＬＤＫ。専有約１９１㎡、２バス３トイレ、各寝室にＷＩＣ。２４時間有人管理。麻布十番駅徒歩７分。</t>
        </is>
      </c>
      <c r="L14" s="5" t="inlineStr"/>
    </row>
    <row r="15" ht="62" customHeight="1">
      <c r="A15" s="4" t="inlineStr">
        <is>
          <t>09</t>
        </is>
      </c>
      <c r="B15" s="4" t="inlineStr">
        <is>
          <t>パークコート虎ノ門愛宕タワー</t>
        </is>
      </c>
      <c r="C15" s="4" t="inlineStr">
        <is>
          <t>29-30階</t>
        </is>
      </c>
      <c r="D15" s="4" t="inlineStr">
        <is>
          <t>140000万円</t>
        </is>
      </c>
      <c r="E15" s="4" t="inlineStr">
        <is>
          <t>183.36㎡</t>
        </is>
      </c>
      <c r="F15" s="4" t="inlineStr">
        <is>
          <t>29・30階</t>
        </is>
      </c>
      <c r="G15" s="4" t="n">
        <v>10</v>
      </c>
      <c r="H15" s="4" t="n">
        <v>34</v>
      </c>
      <c r="I15" s="4" t="n">
        <v>0</v>
      </c>
      <c r="J15" s="4" t="n">
        <v>14</v>
      </c>
      <c r="K15" s="4" t="inlineStr">
        <is>
          <t>神谷町駅徒歩４分、愛宕山の麓に建つタワーの２９・３０階メゾネット。南東・北東の角住戸で、吹き抜け天井高約６，０３０ｍｍのＬＤ約４０．３帖。ルーフバルコニー付き。三井不動産レジデンシャル分譲。</t>
        </is>
      </c>
      <c r="L15" s="4" t="inlineStr"/>
    </row>
    <row r="16" ht="62" customHeight="1">
      <c r="A16" s="5" t="inlineStr">
        <is>
          <t>10</t>
        </is>
      </c>
      <c r="B16" s="5" t="inlineStr">
        <is>
          <t>東京ツインパークス</t>
        </is>
      </c>
      <c r="C16" s="5" t="inlineStr">
        <is>
          <t>レフトウィング4603号室</t>
        </is>
      </c>
      <c r="D16" s="5" t="inlineStr">
        <is>
          <t>99999万円</t>
        </is>
      </c>
      <c r="E16" s="5" t="inlineStr">
        <is>
          <t>183.19㎡</t>
        </is>
      </c>
      <c r="F16" s="5" t="inlineStr">
        <is>
          <t>46階</t>
        </is>
      </c>
      <c r="G16" s="6" t="n">
        <v>2</v>
      </c>
      <c r="H16" s="5" t="n">
        <v>38</v>
      </c>
      <c r="I16" s="5" t="n">
        <v>0</v>
      </c>
      <c r="J16" s="5" t="n">
        <v>13</v>
      </c>
      <c r="K16" s="5" t="inlineStr">
        <is>
          <t>汐留駅徒歩２分、東京ツインパークス四十六階の南西・北西角住戸。約四十四帖のＬＤＫから東京タワーを正面に望む専有一八三．一九㎡の二ＬＤＫ。平置き付設駐車場とザ・スカイハウス専用使用権付き。</t>
        </is>
      </c>
      <c r="L16" s="5" t="inlineStr">
        <is>
          <t>掲載写真が少ない（2枚）</t>
        </is>
      </c>
    </row>
    <row r="17" ht="62" customHeight="1">
      <c r="A17" s="4" t="inlineStr">
        <is>
          <t>11</t>
        </is>
      </c>
      <c r="B17" s="4" t="inlineStr">
        <is>
          <t>乃木坂パークハウス</t>
        </is>
      </c>
      <c r="C17" s="4" t="inlineStr">
        <is>
          <t>21階</t>
        </is>
      </c>
      <c r="D17" s="4" t="inlineStr">
        <is>
          <t>98000万円</t>
        </is>
      </c>
      <c r="E17" s="4" t="inlineStr">
        <is>
          <t>176.87㎡</t>
        </is>
      </c>
      <c r="F17" s="4" t="inlineStr">
        <is>
          <t>21階</t>
        </is>
      </c>
      <c r="G17" s="4" t="n">
        <v>8</v>
      </c>
      <c r="H17" s="4" t="n">
        <v>39</v>
      </c>
      <c r="I17" s="4" t="n">
        <v>0</v>
      </c>
      <c r="J17" s="4" t="n">
        <v>13</v>
      </c>
      <c r="K17" s="4" t="inlineStr">
        <is>
          <t>乃木坂駅徒歩二分、乃木神社に隣り合う三菱地所分譲の邸宅。二十一階はワンフロア一住戸の四方角住戸で、専有一七六．八七㎡の三ＬＤＫに玄関と浴室が二つずつ。四方向のバルコニーから都心を望む。空室。</t>
        </is>
      </c>
      <c r="L17" s="4" t="inlineStr">
        <is>
          <t>図面に広告掲載の制限表記（承諾取得済みの前提）</t>
        </is>
      </c>
    </row>
    <row r="18" ht="62" customHeight="1">
      <c r="A18" s="5" t="inlineStr">
        <is>
          <t>12</t>
        </is>
      </c>
      <c r="B18" s="5" t="inlineStr">
        <is>
          <t>HIKAWA GARDENS AKASAKA</t>
        </is>
      </c>
      <c r="C18" s="5" t="inlineStr">
        <is>
          <t>1階</t>
        </is>
      </c>
      <c r="D18" s="5" t="inlineStr">
        <is>
          <t>97800万円</t>
        </is>
      </c>
      <c r="E18" s="5" t="inlineStr">
        <is>
          <t>174.28㎡</t>
        </is>
      </c>
      <c r="F18" s="5" t="inlineStr">
        <is>
          <t>1階</t>
        </is>
      </c>
      <c r="G18" s="5" t="n">
        <v>15</v>
      </c>
      <c r="H18" s="5" t="n">
        <v>7</v>
      </c>
      <c r="I18" s="5" t="n">
        <v>0</v>
      </c>
      <c r="J18" s="5" t="n">
        <v>14</v>
      </c>
      <c r="K18" s="5" t="inlineStr">
        <is>
          <t>赤坂氷川神社や檜町公園の緑に囲まれた総戸数十七戸の低層レジデンス。平成三十年に一棟リノベーション。約三十九．三帖のＬＤＫと二つのテラス、浴室二か所を備えた一階の三ＬＤＫ。屋内平置き駐車場付き。</t>
        </is>
      </c>
      <c r="L18" s="5" t="inlineStr">
        <is>
          <t>図面に広告掲載の制限表記（承諾取得済みの前提）</t>
        </is>
      </c>
    </row>
    <row r="19" ht="62" customHeight="1">
      <c r="A19" s="4" t="inlineStr">
        <is>
          <t>13</t>
        </is>
      </c>
      <c r="B19" s="4" t="inlineStr">
        <is>
          <t>虎ノ門ヒルズ レジデンシャルタワー</t>
        </is>
      </c>
      <c r="C19" s="4" t="inlineStr">
        <is>
          <t>29階</t>
        </is>
      </c>
      <c r="D19" s="4" t="inlineStr">
        <is>
          <t>165000万円</t>
        </is>
      </c>
      <c r="E19" s="4" t="inlineStr">
        <is>
          <t>170.97㎡</t>
        </is>
      </c>
      <c r="F19" s="4" t="inlineStr">
        <is>
          <t>29階</t>
        </is>
      </c>
      <c r="G19" s="4" t="n">
        <v>28</v>
      </c>
      <c r="H19" s="4" t="n">
        <v>0</v>
      </c>
      <c r="I19" s="4" t="n">
        <v>0</v>
      </c>
      <c r="J19" s="4" t="n">
        <v>15</v>
      </c>
      <c r="K19" s="4" t="inlineStr">
        <is>
          <t>森ビル開発・竹中工務店施工の地上５４階建タワー、２９階北西角住戸。１７０．９７㎡の２ＬＤＫ＋ＷＩＣで、二つの寝室それぞれに専用浴室とトイレ。２４時間バイリンガルフロント、虎ノ門ヒルズ駅徒歩２分。</t>
        </is>
      </c>
      <c r="L19" s="4" t="inlineStr">
        <is>
          <t>透かし入り27枚</t>
        </is>
      </c>
    </row>
    <row r="20" ht="62" customHeight="1">
      <c r="A20" s="5" t="inlineStr">
        <is>
          <t>14</t>
        </is>
      </c>
      <c r="B20" s="5" t="inlineStr">
        <is>
          <t>リビオタワー品川</t>
        </is>
      </c>
      <c r="C20" s="5" t="inlineStr">
        <is>
          <t>34階</t>
        </is>
      </c>
      <c r="D20" s="5" t="inlineStr">
        <is>
          <t>63500万円</t>
        </is>
      </c>
      <c r="E20" s="5" t="inlineStr">
        <is>
          <t>130.24㎡</t>
        </is>
      </c>
      <c r="F20" s="5" t="inlineStr">
        <is>
          <t>34階</t>
        </is>
      </c>
      <c r="G20" s="5" t="n">
        <v>40</v>
      </c>
      <c r="H20" s="5" t="n">
        <v>1</v>
      </c>
      <c r="I20" s="5" t="n">
        <v>0</v>
      </c>
      <c r="J20" s="5" t="n">
        <v>20</v>
      </c>
      <c r="K20" s="5" t="inlineStr">
        <is>
          <t>品川駅港南口徒歩１３分、免震タワーの最上階３４階、全１５邸のプレミアムフロアの角住戸。天井高約２．９ｍ・約２５．５帖のＬＤから東京湾方向を望む１３０．２４㎡の３ＬＤＫ。２４時間有人管理。</t>
        </is>
      </c>
      <c r="L20" s="5" t="inlineStr">
        <is>
          <t>図面に広告掲載の制限表記（承諾取得済みの前提）</t>
        </is>
      </c>
    </row>
    <row r="21" ht="62" customHeight="1">
      <c r="A21" s="4" t="inlineStr">
        <is>
          <t>15</t>
        </is>
      </c>
      <c r="B21" s="4" t="inlineStr">
        <is>
          <t>パークコート北青山</t>
        </is>
      </c>
      <c r="C21" s="4" t="inlineStr">
        <is>
          <t>5階</t>
        </is>
      </c>
      <c r="D21" s="4" t="inlineStr">
        <is>
          <t>59800万円</t>
        </is>
      </c>
      <c r="E21" s="4" t="inlineStr">
        <is>
          <t>111.73㎡</t>
        </is>
      </c>
      <c r="F21" s="4" t="inlineStr">
        <is>
          <t>5階</t>
        </is>
      </c>
      <c r="G21" s="4" t="n">
        <v>6</v>
      </c>
      <c r="H21" s="4" t="n">
        <v>115</v>
      </c>
      <c r="I21" s="4" t="n">
        <v>0</v>
      </c>
      <c r="J21" s="4" t="n">
        <v>13</v>
      </c>
      <c r="K21" s="4" t="inlineStr">
        <is>
          <t>三井不動産レジデンシャル分譲「パークコート北青山」の築後未入居住戸。約１１１㎡の３ＬＤＫ角住戸で、ＬＤＫ約２７．７帖。顔認証エントランスや戸別マルチファンクションボックス、床暖房６箇所を備えます。</t>
        </is>
      </c>
      <c r="L21" s="4" t="inlineStr"/>
    </row>
    <row r="22">
      <c r="F22" s="7" t="inlineStr">
        <is>
          <t>合計</t>
        </is>
      </c>
      <c r="G22" s="7">
        <f>SUM(G5:G21)</f>
        <v/>
      </c>
      <c r="H22" s="7">
        <f>SUM(H5:H21)</f>
        <v/>
      </c>
      <c r="I22" s="7">
        <f>SUM(I5:I21)</f>
        <v/>
      </c>
      <c r="J22" s="7">
        <f>SUM(J5:J21)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14" customWidth="1" min="3" max="3"/>
    <col width="18" customWidth="1" min="4" max="4"/>
    <col width="110" customWidth="1" min="5" max="5"/>
  </cols>
  <sheetData>
    <row r="1">
      <c r="A1" s="8" t="inlineStr">
        <is>
          <t>No</t>
        </is>
      </c>
      <c r="B1" s="8" t="inlineStr">
        <is>
          <t>マンション</t>
        </is>
      </c>
      <c r="C1" s="8" t="inlineStr">
        <is>
          <t>住戸</t>
        </is>
      </c>
      <c r="D1" s="8" t="inlineStr">
        <is>
          <t>区分</t>
        </is>
      </c>
      <c r="E1" s="8" t="inlineStr">
        <is>
          <t>内容</t>
        </is>
      </c>
    </row>
    <row r="2">
      <c r="A2" s="9" t="inlineStr">
        <is>
          <t>01</t>
        </is>
      </c>
      <c r="B2" s="9" t="inlineStr">
        <is>
          <t>高輪ザ・レジデンス</t>
        </is>
      </c>
      <c r="C2" s="9" t="inlineStr">
        <is>
          <t>43階</t>
        </is>
      </c>
      <c r="D2" s="9" t="inlineStr">
        <is>
          <t>文言</t>
        </is>
      </c>
      <c r="E2" s="9" t="inlineStr">
        <is>
          <t>リフォーム時期（⑤#13）：A-p08は「フルリノベーション済」のみ／ケン43階HP・RMのHOME'S掲載「2025年12月実施（水回り・内装全面）」。売主自身のポータル掲載で裏付けはあるが、図面に時期がないため「フルリノベーション済」のみ入力。時期を入れる場合は売主に確認。</t>
        </is>
      </c>
    </row>
    <row r="3">
      <c r="A3" s="9" t="inlineStr">
        <is>
          <t>01</t>
        </is>
      </c>
      <c r="B3" s="9" t="inlineStr">
        <is>
          <t>高輪ザ・レジデンス</t>
        </is>
      </c>
      <c r="C3" s="9" t="inlineStr">
        <is>
          <t>43階</t>
        </is>
      </c>
      <c r="D3" s="9" t="inlineStr">
        <is>
          <t>文言</t>
        </is>
      </c>
      <c r="E3" s="9" t="inlineStr">
        <is>
          <t>月額合計・特定階負担金（⑤#14）：161,295円（A-p08の記載項目の合計）／特定階負担金の有無は不明（44階以上の住戸にはあり）。ケン43階HPは「その他費用なし」。</t>
        </is>
      </c>
    </row>
    <row r="4">
      <c r="A4" s="9" t="inlineStr">
        <is>
          <t>01</t>
        </is>
      </c>
      <c r="B4" s="9" t="inlineStr">
        <is>
          <t>高輪ザ・レジデンス</t>
        </is>
      </c>
      <c r="C4" s="9" t="inlineStr">
        <is>
          <t>43階</t>
        </is>
      </c>
      <c r="D4" s="9" t="inlineStr">
        <is>
          <t>文言</t>
        </is>
      </c>
      <c r="E4" s="9" t="inlineStr">
        <is>
          <t>向き：西（ケン43階HP・RMのHOME'S掲載）。図面に向きの記載なし。</t>
        </is>
      </c>
    </row>
    <row r="5">
      <c r="A5" s="9" t="inlineStr">
        <is>
          <t>01</t>
        </is>
      </c>
      <c r="B5" s="9" t="inlineStr">
        <is>
          <t>高輪ザ・レジデンス</t>
        </is>
      </c>
      <c r="C5" s="9" t="inlineStr">
        <is>
          <t>43階</t>
        </is>
      </c>
      <c r="D5" s="9" t="inlineStr">
        <is>
          <t>文言</t>
        </is>
      </c>
      <c r="E5" s="9" t="inlineStr">
        <is>
          <t>間取り表記：3LDK＋DEN＋4S＋3WIC＋SIC（A-p08・売主）／3LDK＋S（ケン43階HP）。売主表記を入れた。</t>
        </is>
      </c>
    </row>
    <row r="6">
      <c r="A6" s="9" t="inlineStr">
        <is>
          <t>01</t>
        </is>
      </c>
      <c r="B6" s="9" t="inlineStr">
        <is>
          <t>高輪ザ・レジデンス</t>
        </is>
      </c>
      <c r="C6" s="9" t="inlineStr">
        <is>
          <t>43階</t>
        </is>
      </c>
      <c r="D6" s="9" t="inlineStr">
        <is>
          <t>文言</t>
        </is>
      </c>
      <c r="E6" s="9" t="inlineStr">
        <is>
          <t>専有面積の壁芯／登記の別：A-p08に記載なし。RMのSUUMO掲載は「登記」、タカマツハウス・HOME'Sは「壁芯」。</t>
        </is>
      </c>
    </row>
    <row r="7">
      <c r="A7" s="9" t="inlineStr">
        <is>
          <t>01</t>
        </is>
      </c>
      <c r="B7" s="9" t="inlineStr">
        <is>
          <t>高輪ザ・レジデンス</t>
        </is>
      </c>
      <c r="C7" s="9" t="inlineStr">
        <is>
          <t>43階</t>
        </is>
      </c>
      <c r="D7" s="9" t="inlineStr">
        <is>
          <t>文言</t>
        </is>
      </c>
      <c r="E7" s="9" t="inlineStr">
        <is>
          <t>A-p08の図面に「広告掲載不可」の表記。依頼者は承諾取得済との指示だが、掲載前に念のため確認。</t>
        </is>
      </c>
    </row>
    <row r="8">
      <c r="A8" s="9" t="inlineStr">
        <is>
          <t>01</t>
        </is>
      </c>
      <c r="B8" s="9" t="inlineStr">
        <is>
          <t>高輪ザ・レジデンス</t>
        </is>
      </c>
      <c r="C8" s="9" t="inlineStr">
        <is>
          <t>43階</t>
        </is>
      </c>
      <c r="D8" s="9" t="inlineStr">
        <is>
          <t>文言</t>
        </is>
      </c>
      <c r="E8" s="9" t="inlineStr">
        <is>
          <t>A-p08の特記：外国籍の方の内覧は事前に資金証明の提出が必要。問い合わせ対応時に注意。</t>
        </is>
      </c>
    </row>
    <row r="9">
      <c r="A9" s="9" t="inlineStr">
        <is>
          <t>01</t>
        </is>
      </c>
      <c r="B9" s="9" t="inlineStr">
        <is>
          <t>高輪ザ・レジデンス</t>
        </is>
      </c>
      <c r="C9" s="9" t="inlineStr">
        <is>
          <t>43階</t>
        </is>
      </c>
      <c r="D9" s="9" t="inlineStr">
        <is>
          <t>文言</t>
        </is>
      </c>
      <c r="E9" s="9" t="inlineStr">
        <is>
          <t>43階の間取図・眺望（02_眺望）はケン・コーポレーションHP（43階を仲介掲載）由来。ケンは同建物46-47階の元付で、43階の図面上の元付はRMのみ。転載許可の範囲を確認。</t>
        </is>
      </c>
    </row>
    <row r="10">
      <c r="A10" s="9" t="inlineStr">
        <is>
          <t>01</t>
        </is>
      </c>
      <c r="B10" s="9" t="inlineStr">
        <is>
          <t>高輪ザ・レジデンス</t>
        </is>
      </c>
      <c r="C10" s="9" t="inlineStr">
        <is>
          <t>43階</t>
        </is>
      </c>
      <c r="D10" s="9" t="inlineStr">
        <is>
          <t>文言</t>
        </is>
      </c>
      <c r="E10" s="9" t="inlineStr">
        <is>
          <t>43階/_参考_リフォーム前/01_間取図_リフォーム前.jpg は現況と異なる（2011年の賃貸募集時）ため、images・要許可のどちらにも入れていない。</t>
        </is>
      </c>
    </row>
    <row r="11">
      <c r="A11" s="9" t="inlineStr">
        <is>
          <t>01</t>
        </is>
      </c>
      <c r="B11" s="9" t="inlineStr">
        <is>
          <t>高輪ザ・レジデンス</t>
        </is>
      </c>
      <c r="C11" s="9" t="inlineStr">
        <is>
          <t>43階</t>
        </is>
      </c>
      <c r="D11" s="9" t="inlineStr">
        <is>
          <t>文言</t>
        </is>
      </c>
      <c r="E11" s="9" t="inlineStr">
        <is>
          <t>富士山が写った眺望写真はない（物件情報⑦）。眺望写真は西方向の街並み。</t>
        </is>
      </c>
    </row>
    <row r="12">
      <c r="A12" s="9" t="inlineStr">
        <is>
          <t>01</t>
        </is>
      </c>
      <c r="B12" s="9" t="inlineStr">
        <is>
          <t>高輪ザ・レジデンス</t>
        </is>
      </c>
      <c r="C12" s="9" t="inlineStr">
        <is>
          <t>43階</t>
        </is>
      </c>
      <c r="D12" s="9" t="inlineStr">
        <is>
          <t>文言</t>
        </is>
      </c>
      <c r="E12" s="9" t="inlineStr">
        <is>
          <t>交通（⑤#7〜#12）：高輪台 7分（A-p01ほか）／6分（A-p02・A-p08）、白金台 10分（A-p01・東京建物ライブラリー）／8分（A-p02・A-p04・A-p05）、泉岳寺 12分（東京建物ライブラリー）／15分（A-p01）、高輪ゲートウェイ 16分（A-p01）／14分（A-p02）／11分（A-p06）、品川 16分（東京建物ライブラリー）／15分（A-p08）。採用候補を入れたが、短い値を使う場合は元付に計測根拠を確認。</t>
        </is>
      </c>
    </row>
    <row r="13">
      <c r="A13" s="9" t="inlineStr">
        <is>
          <t>01</t>
        </is>
      </c>
      <c r="B13" s="9" t="inlineStr">
        <is>
          <t>高輪ザ・レジデンス</t>
        </is>
      </c>
      <c r="C13" s="9" t="inlineStr">
        <is>
          <t>43階</t>
        </is>
      </c>
      <c r="D13" s="9" t="inlineStr">
        <is>
          <t>文言</t>
        </is>
      </c>
      <c r="E13" s="9" t="inlineStr">
        <is>
          <t>用途地域（⑤#3）：商業・第一種住居・近隣商業（A-p04、港区用途地域図）／第一種住居・商業（A-p01）／商業のみ（A-p08）ほか。採用候補（3種）を入れた。面積按分は重説で確認。</t>
        </is>
      </c>
    </row>
    <row r="14">
      <c r="A14" s="9" t="inlineStr">
        <is>
          <t>01</t>
        </is>
      </c>
      <c r="B14" s="9" t="inlineStr">
        <is>
          <t>高輪ザ・レジデンス</t>
        </is>
      </c>
      <c r="C14" s="9" t="inlineStr">
        <is>
          <t>43階</t>
        </is>
      </c>
      <c r="D14" s="9" t="inlineStr">
        <is>
          <t>文言</t>
        </is>
      </c>
      <c r="E14" s="9" t="inlineStr">
        <is>
          <t>管理員の勤務形態（⑤#30）：常勤（A-p01）／常駐（A-p02・A-p08）／日勤（A-p05・A-p06）。24時間有人管理は複数図面で一致。</t>
        </is>
      </c>
    </row>
    <row r="15">
      <c r="A15" s="9" t="inlineStr">
        <is>
          <t>01</t>
        </is>
      </c>
      <c r="B15" s="9" t="inlineStr">
        <is>
          <t>高輪ザ・レジデンス</t>
        </is>
      </c>
      <c r="C15" s="9" t="inlineStr">
        <is>
          <t>43階</t>
        </is>
      </c>
      <c r="D15" s="9" t="inlineStr">
        <is>
          <t>文言</t>
        </is>
      </c>
      <c r="E15" s="9" t="inlineStr">
        <is>
          <t>総戸数（⑤#23）：574戸（全図面）／575戸（東京建物ライブラリー）。図面値を入れた。</t>
        </is>
      </c>
    </row>
    <row r="16">
      <c r="A16" s="9" t="inlineStr">
        <is>
          <t>01</t>
        </is>
      </c>
      <c r="B16" s="9" t="inlineStr">
        <is>
          <t>高輪ザ・レジデンス</t>
        </is>
      </c>
      <c r="C16" s="9" t="inlineStr">
        <is>
          <t>43階</t>
        </is>
      </c>
      <c r="D16" s="9" t="inlineStr">
        <is>
          <t>文言</t>
        </is>
      </c>
      <c r="E16" s="9" t="inlineStr">
        <is>
          <t>駐車場（⑤#28・#37）：空無（A-p01）／有 35,000〜65,000円（A-p02）／確認中（A-p06）。空き・料金・サイズは管理会社で確認。</t>
        </is>
      </c>
    </row>
    <row r="17">
      <c r="A17" s="9" t="inlineStr">
        <is>
          <t>01</t>
        </is>
      </c>
      <c r="B17" s="9" t="inlineStr">
        <is>
          <t>高輪ザ・レジデンス</t>
        </is>
      </c>
      <c r="C17" s="9" t="inlineStr">
        <is>
          <t>43階</t>
        </is>
      </c>
      <c r="D17" s="9" t="inlineStr">
        <is>
          <t>文言</t>
        </is>
      </c>
      <c r="E17" s="9" t="inlineStr">
        <is>
          <t>トランクルーム（⑤#29）：空無（A-p01）・無（リバブルHP）／各住戸にあり（モダンスタンダード）。入力しない。</t>
        </is>
      </c>
    </row>
    <row r="18">
      <c r="A18" s="9" t="inlineStr">
        <is>
          <t>01</t>
        </is>
      </c>
      <c r="B18" s="9" t="inlineStr">
        <is>
          <t>高輪ザ・レジデンス</t>
        </is>
      </c>
      <c r="C18" s="9" t="inlineStr">
        <is>
          <t>43階</t>
        </is>
      </c>
      <c r="D18" s="9" t="inlineStr">
        <is>
          <t>文言</t>
        </is>
      </c>
      <c r="E18" s="9" t="inlineStr">
        <is>
          <t>制震構造：A-p06「大規模制震タワーレジデンス」・ケンHP。施工・設計会社の公式資料は未確認（⑤#17）。</t>
        </is>
      </c>
    </row>
    <row r="19">
      <c r="A19" s="9" t="inlineStr">
        <is>
          <t>01</t>
        </is>
      </c>
      <c r="B19" s="9" t="inlineStr">
        <is>
          <t>高輪ザ・レジデンス</t>
        </is>
      </c>
      <c r="C19" s="9" t="inlineStr">
        <is>
          <t>43階</t>
        </is>
      </c>
      <c r="D19" s="9" t="inlineStr">
        <is>
          <t>文言</t>
        </is>
      </c>
      <c r="E19" s="9" t="inlineStr">
        <is>
          <t>共用部写真は同じ建物の別住戸の元付（野村・東急リバブル・サザビーズ・ケン）のHP由来を含む。依頼者の転載許可が当該住戸以外の広告にも及ぶか、念のため確認。</t>
        </is>
      </c>
    </row>
    <row r="20">
      <c r="A20" s="9" t="inlineStr">
        <is>
          <t>01</t>
        </is>
      </c>
      <c r="B20" s="9" t="inlineStr">
        <is>
          <t>高輪ザ・レジデンス</t>
        </is>
      </c>
      <c r="C20" s="9" t="inlineStr">
        <is>
          <t>43階</t>
        </is>
      </c>
      <c r="D20" s="9" t="inlineStr">
        <is>
          <t>文言</t>
        </is>
      </c>
      <c r="E20" s="9" t="inlineStr">
        <is>
          <t>透かし入り写真（サザビーズ・GRANTACT・ケンのロゴ）は「（透かし有・差替要）」と記載。元付から透かしなし原本をもらえれば差し替え。</t>
        </is>
      </c>
    </row>
    <row r="21">
      <c r="A21" s="9" t="inlineStr">
        <is>
          <t>01</t>
        </is>
      </c>
      <c r="B21" s="9" t="inlineStr">
        <is>
          <t>高輪ザ・レジデンス</t>
        </is>
      </c>
      <c r="C21" s="9" t="inlineStr">
        <is>
          <t>43階</t>
        </is>
      </c>
      <c r="D21" s="9" t="inlineStr">
        <is>
          <t>文言</t>
        </is>
      </c>
      <c r="E21" s="9" t="inlineStr">
        <is>
          <t>中学校区（高松中学校）はポータル情報のみ（公式未確認）。</t>
        </is>
      </c>
    </row>
    <row r="22">
      <c r="A22" s="9" t="inlineStr">
        <is>
          <t>01</t>
        </is>
      </c>
      <c r="B22" s="9" t="inlineStr">
        <is>
          <t>高輪ザ・レジデンス</t>
        </is>
      </c>
      <c r="C22" s="9" t="inlineStr">
        <is>
          <t>43階</t>
        </is>
      </c>
      <c r="D22" s="9" t="inlineStr">
        <is>
          <t>推測入力</t>
        </is>
      </c>
      <c r="E22" s="9" t="inlineStr">
        <is>
          <t>写真12・13の洋室がどちら（洋室(1)(2)・DEN）に当たるかは特定できないため、いずれも「洋室(21)」とした。</t>
        </is>
      </c>
    </row>
    <row r="23">
      <c r="A23" s="9" t="inlineStr">
        <is>
          <t>01</t>
        </is>
      </c>
      <c r="B23" s="9" t="inlineStr">
        <is>
          <t>高輪ザ・レジデンス</t>
        </is>
      </c>
      <c r="C23" s="9" t="inlineStr">
        <is>
          <t>43階</t>
        </is>
      </c>
      <c r="D23" s="9" t="inlineStr">
        <is>
          <t>推測入力</t>
        </is>
      </c>
      <c r="E23" s="9" t="inlineStr">
        <is>
          <t>写真15・16は棚だけの部屋のため「収納(12)」とし、16を「納戸」と表現した（図面の4Sのどれかは特定不可）。</t>
        </is>
      </c>
    </row>
    <row r="24">
      <c r="A24" s="9" t="inlineStr">
        <is>
          <t>01</t>
        </is>
      </c>
      <c r="B24" s="9" t="inlineStr">
        <is>
          <t>高輪ザ・レジデンス</t>
        </is>
      </c>
      <c r="C24" s="9" t="inlineStr">
        <is>
          <t>43階</t>
        </is>
      </c>
      <c r="D24" s="9" t="inlineStr">
        <is>
          <t>推測入力</t>
        </is>
      </c>
      <c r="E24" s="9" t="inlineStr">
        <is>
          <t>写真09（シンク・冷蔵設備）はバーカウンター裏の作業スペースと判断し「キッチン(5)」とした。</t>
        </is>
      </c>
    </row>
    <row r="25">
      <c r="A25" s="9" t="inlineStr">
        <is>
          <t>01</t>
        </is>
      </c>
      <c r="B25" s="9" t="inlineStr">
        <is>
          <t>高輪ザ・レジデンス</t>
        </is>
      </c>
      <c r="C25" s="9" t="inlineStr">
        <is>
          <t>43階</t>
        </is>
      </c>
      <c r="D25" s="9" t="inlineStr">
        <is>
          <t>推測入力</t>
        </is>
      </c>
      <c r="E25" s="9" t="inlineStr">
        <is>
          <t>写真24を「もう一つの玄関」とした（図面に玄関が2か所表記されていることからの判断）。写真25（廊下）・26（ホール）は「その他内観(38)」。</t>
        </is>
      </c>
    </row>
    <row r="26">
      <c r="A26" s="9" t="inlineStr">
        <is>
          <t>01</t>
        </is>
      </c>
      <c r="B26" s="9" t="inlineStr">
        <is>
          <t>高輪ザ・レジデンス</t>
        </is>
      </c>
      <c r="C26" s="9" t="inlineStr">
        <is>
          <t>43階</t>
        </is>
      </c>
      <c r="D26" s="9" t="inlineStr">
        <is>
          <t>推測入力</t>
        </is>
      </c>
      <c r="E26" s="9" t="inlineStr">
        <is>
          <t>設備チェック「システムキッチン」「カウンターキッチン」は写真からの判断。</t>
        </is>
      </c>
    </row>
    <row r="27">
      <c r="A27" s="9" t="inlineStr">
        <is>
          <t>01</t>
        </is>
      </c>
      <c r="B27" s="9" t="inlineStr">
        <is>
          <t>高輪ザ・レジデンス</t>
        </is>
      </c>
      <c r="C27" s="9" t="inlineStr">
        <is>
          <t>43階</t>
        </is>
      </c>
      <c r="D27" s="9" t="inlineStr">
        <is>
          <t>推測入力</t>
        </is>
      </c>
      <c r="E27" s="9" t="inlineStr">
        <is>
          <t>コメントの表現（暮らしのイメージ部分）は写真と図面からの推測を含む。</t>
        </is>
      </c>
    </row>
    <row r="28">
      <c r="A28" s="9" t="inlineStr">
        <is>
          <t>01</t>
        </is>
      </c>
      <c r="B28" s="9" t="inlineStr">
        <is>
          <t>高輪ザ・レジデンス</t>
        </is>
      </c>
      <c r="C28" s="9" t="inlineStr">
        <is>
          <t>44階</t>
        </is>
      </c>
      <c r="D28" s="9" t="inlineStr">
        <is>
          <t>文言</t>
        </is>
      </c>
      <c r="E28" s="9" t="inlineStr">
        <is>
          <t>間取り表記（⑤#2）：2LDK＋5S＋2WIC＋SIC（A-p05）／3LDK＋4S＋2WIC＋SIC（A-p04）／3LDK＋S（A-p06）。安全側の採用候補（A-p05）を入れた。西端の窓付き室を居室とするか納戸とするかの差。</t>
        </is>
      </c>
    </row>
    <row r="29">
      <c r="A29" s="9" t="inlineStr">
        <is>
          <t>01</t>
        </is>
      </c>
      <c r="B29" s="9" t="inlineStr">
        <is>
          <t>高輪ザ・レジデンス</t>
        </is>
      </c>
      <c r="C29" s="9" t="inlineStr">
        <is>
          <t>44階</t>
        </is>
      </c>
      <c r="D29" s="9" t="inlineStr">
        <is>
          <t>文言</t>
        </is>
      </c>
      <c r="E29" s="9" t="inlineStr">
        <is>
          <t>敷地共有持分（⑤#1）：26,194／4,808,035（A-p06）／20,879／4,808,035（A-p05）。専有面積×100の法則に合う26,194を入れた。登記簿で最終確認。</t>
        </is>
      </c>
    </row>
    <row r="30">
      <c r="A30" s="9" t="inlineStr">
        <is>
          <t>01</t>
        </is>
      </c>
      <c r="B30" s="9" t="inlineStr">
        <is>
          <t>高輪ザ・レジデンス</t>
        </is>
      </c>
      <c r="C30" s="9" t="inlineStr">
        <is>
          <t>44階</t>
        </is>
      </c>
      <c r="D30" s="9" t="inlineStr">
        <is>
          <t>文言</t>
        </is>
      </c>
      <c r="E30" s="9" t="inlineStr">
        <is>
          <t>間取図：リバブル版（44階/間取図/02_間取図_リバブル版.jpg）は西端の室を「Bedroom1」と表記し採用間取り（2LDK＋5S）と食い違うため、images から外した。掲載は野村版（01_間取図）のみ。</t>
        </is>
      </c>
    </row>
    <row r="31">
      <c r="A31" s="9" t="inlineStr">
        <is>
          <t>01</t>
        </is>
      </c>
      <c r="B31" s="9" t="inlineStr">
        <is>
          <t>高輪ザ・レジデンス</t>
        </is>
      </c>
      <c r="C31" s="9" t="inlineStr">
        <is>
          <t>44階</t>
        </is>
      </c>
      <c r="D31" s="9" t="inlineStr">
        <is>
          <t>文言</t>
        </is>
      </c>
      <c r="E31" s="9" t="inlineStr">
        <is>
          <t>駐車場：A-p06「確認中」。同建物A-p02では35,000〜65,000円・空有。空きを確認のうえ入力。</t>
        </is>
      </c>
    </row>
    <row r="32">
      <c r="A32" s="9" t="inlineStr">
        <is>
          <t>01</t>
        </is>
      </c>
      <c r="B32" s="9" t="inlineStr">
        <is>
          <t>高輪ザ・レジデンス</t>
        </is>
      </c>
      <c r="C32" s="9" t="inlineStr">
        <is>
          <t>44階</t>
        </is>
      </c>
      <c r="D32" s="9" t="inlineStr">
        <is>
          <t>文言</t>
        </is>
      </c>
      <c r="E32" s="9" t="inlineStr">
        <is>
          <t>リフォーム履歴：図面・HPに記載なし。空欄のまま。</t>
        </is>
      </c>
    </row>
    <row r="33">
      <c r="A33" s="9" t="inlineStr">
        <is>
          <t>01</t>
        </is>
      </c>
      <c r="B33" s="9" t="inlineStr">
        <is>
          <t>高輪ザ・レジデンス</t>
        </is>
      </c>
      <c r="C33" s="9" t="inlineStr">
        <is>
          <t>44階</t>
        </is>
      </c>
      <c r="D33" s="9" t="inlineStr">
        <is>
          <t>文言</t>
        </is>
      </c>
      <c r="E33" s="9" t="inlineStr">
        <is>
          <t>LD約39.8帖・和室約8帖・洋室約9.2帖は元付HP（ノムコム）の値（図面に帖数の記載なし）。</t>
        </is>
      </c>
    </row>
    <row r="34">
      <c r="A34" s="9" t="inlineStr">
        <is>
          <t>01</t>
        </is>
      </c>
      <c r="B34" s="9" t="inlineStr">
        <is>
          <t>高輪ザ・レジデンス</t>
        </is>
      </c>
      <c r="C34" s="9" t="inlineStr">
        <is>
          <t>44階</t>
        </is>
      </c>
      <c r="D34" s="9" t="inlineStr">
        <is>
          <t>文言</t>
        </is>
      </c>
      <c r="E34" s="9" t="inlineStr">
        <is>
          <t>写真28〜30はGRANTACTの透かしあり（元付の自社透かし）。</t>
        </is>
      </c>
    </row>
    <row r="35">
      <c r="A35" s="9" t="inlineStr">
        <is>
          <t>01</t>
        </is>
      </c>
      <c r="B35" s="9" t="inlineStr">
        <is>
          <t>高輪ザ・レジデンス</t>
        </is>
      </c>
      <c r="C35" s="9" t="inlineStr">
        <is>
          <t>44階</t>
        </is>
      </c>
      <c r="D35" s="9" t="inlineStr">
        <is>
          <t>文言</t>
        </is>
      </c>
      <c r="E35" s="9" t="inlineStr">
        <is>
          <t>角部屋の表記は図面・HPに根拠なし。角住戸・最上階系の表示は付けていない。</t>
        </is>
      </c>
    </row>
    <row r="36">
      <c r="A36" s="9" t="inlineStr">
        <is>
          <t>01</t>
        </is>
      </c>
      <c r="B36" s="9" t="inlineStr">
        <is>
          <t>高輪ザ・レジデンス</t>
        </is>
      </c>
      <c r="C36" s="9" t="inlineStr">
        <is>
          <t>44階</t>
        </is>
      </c>
      <c r="D36" s="9" t="inlineStr">
        <is>
          <t>文言</t>
        </is>
      </c>
      <c r="E36" s="9" t="inlineStr">
        <is>
          <t>交通（⑤#7〜#12）：高輪台 7分（A-p01ほか）／6分（A-p02・A-p08）、白金台 10分（A-p01・東京建物ライブラリー）／8分（A-p02・A-p04・A-p05）、泉岳寺 12分（東京建物ライブラリー）／15分（A-p01）、高輪ゲートウェイ 16分（A-p01）／14分（A-p02）／11分（A-p06）、品川 16分（東京建物ライブラリー）／15分（A-p08）。採用候補を入れたが、短い値を使う場合は元付に計測根拠を確認。</t>
        </is>
      </c>
    </row>
    <row r="37">
      <c r="A37" s="9" t="inlineStr">
        <is>
          <t>01</t>
        </is>
      </c>
      <c r="B37" s="9" t="inlineStr">
        <is>
          <t>高輪ザ・レジデンス</t>
        </is>
      </c>
      <c r="C37" s="9" t="inlineStr">
        <is>
          <t>44階</t>
        </is>
      </c>
      <c r="D37" s="9" t="inlineStr">
        <is>
          <t>文言</t>
        </is>
      </c>
      <c r="E37" s="9" t="inlineStr">
        <is>
          <t>用途地域（⑤#3）：商業・第一種住居・近隣商業（A-p04、港区用途地域図）／第一種住居・商業（A-p01）／商業のみ（A-p08）ほか。採用候補（3種）を入れた。面積按分は重説で確認。</t>
        </is>
      </c>
    </row>
    <row r="38">
      <c r="A38" s="9" t="inlineStr">
        <is>
          <t>01</t>
        </is>
      </c>
      <c r="B38" s="9" t="inlineStr">
        <is>
          <t>高輪ザ・レジデンス</t>
        </is>
      </c>
      <c r="C38" s="9" t="inlineStr">
        <is>
          <t>44階</t>
        </is>
      </c>
      <c r="D38" s="9" t="inlineStr">
        <is>
          <t>文言</t>
        </is>
      </c>
      <c r="E38" s="9" t="inlineStr">
        <is>
          <t>管理員の勤務形態（⑤#30）：常勤（A-p01）／常駐（A-p02・A-p08）／日勤（A-p05・A-p06）。24時間有人管理は複数図面で一致。</t>
        </is>
      </c>
    </row>
    <row r="39">
      <c r="A39" s="9" t="inlineStr">
        <is>
          <t>01</t>
        </is>
      </c>
      <c r="B39" s="9" t="inlineStr">
        <is>
          <t>高輪ザ・レジデンス</t>
        </is>
      </c>
      <c r="C39" s="9" t="inlineStr">
        <is>
          <t>44階</t>
        </is>
      </c>
      <c r="D39" s="9" t="inlineStr">
        <is>
          <t>文言</t>
        </is>
      </c>
      <c r="E39" s="9" t="inlineStr">
        <is>
          <t>総戸数（⑤#23）：574戸（全図面）／575戸（東京建物ライブラリー）。図面値を入れた。</t>
        </is>
      </c>
    </row>
    <row r="40">
      <c r="A40" s="9" t="inlineStr">
        <is>
          <t>01</t>
        </is>
      </c>
      <c r="B40" s="9" t="inlineStr">
        <is>
          <t>高輪ザ・レジデンス</t>
        </is>
      </c>
      <c r="C40" s="9" t="inlineStr">
        <is>
          <t>44階</t>
        </is>
      </c>
      <c r="D40" s="9" t="inlineStr">
        <is>
          <t>文言</t>
        </is>
      </c>
      <c r="E40" s="9" t="inlineStr">
        <is>
          <t>駐車場（⑤#28・#37）：空無（A-p01）／有 35,000〜65,000円（A-p02）／確認中（A-p06）。空き・料金・サイズは管理会社で確認。</t>
        </is>
      </c>
    </row>
    <row r="41">
      <c r="A41" s="9" t="inlineStr">
        <is>
          <t>01</t>
        </is>
      </c>
      <c r="B41" s="9" t="inlineStr">
        <is>
          <t>高輪ザ・レジデンス</t>
        </is>
      </c>
      <c r="C41" s="9" t="inlineStr">
        <is>
          <t>44階</t>
        </is>
      </c>
      <c r="D41" s="9" t="inlineStr">
        <is>
          <t>文言</t>
        </is>
      </c>
      <c r="E41" s="9" t="inlineStr">
        <is>
          <t>トランクルーム（⑤#29）：空無（A-p01）・無（リバブルHP）／各住戸にあり（モダンスタンダード）。入力しない。</t>
        </is>
      </c>
    </row>
    <row r="42">
      <c r="A42" s="9" t="inlineStr">
        <is>
          <t>01</t>
        </is>
      </c>
      <c r="B42" s="9" t="inlineStr">
        <is>
          <t>高輪ザ・レジデンス</t>
        </is>
      </c>
      <c r="C42" s="9" t="inlineStr">
        <is>
          <t>44階</t>
        </is>
      </c>
      <c r="D42" s="9" t="inlineStr">
        <is>
          <t>文言</t>
        </is>
      </c>
      <c r="E42" s="9" t="inlineStr">
        <is>
          <t>制震構造：A-p06「大規模制震タワーレジデンス」・ケンHP。施工・設計会社の公式資料は未確認（⑤#17）。</t>
        </is>
      </c>
    </row>
    <row r="43">
      <c r="A43" s="9" t="inlineStr">
        <is>
          <t>01</t>
        </is>
      </c>
      <c r="B43" s="9" t="inlineStr">
        <is>
          <t>高輪ザ・レジデンス</t>
        </is>
      </c>
      <c r="C43" s="9" t="inlineStr">
        <is>
          <t>44階</t>
        </is>
      </c>
      <c r="D43" s="9" t="inlineStr">
        <is>
          <t>文言</t>
        </is>
      </c>
      <c r="E43" s="9" t="inlineStr">
        <is>
          <t>共用部写真は同じ建物の別住戸の元付（野村・東急リバブル・サザビーズ・ケン）のHP由来を含む。依頼者の転載許可が当該住戸以外の広告にも及ぶか、念のため確認。</t>
        </is>
      </c>
    </row>
    <row r="44">
      <c r="A44" s="9" t="inlineStr">
        <is>
          <t>01</t>
        </is>
      </c>
      <c r="B44" s="9" t="inlineStr">
        <is>
          <t>高輪ザ・レジデンス</t>
        </is>
      </c>
      <c r="C44" s="9" t="inlineStr">
        <is>
          <t>44階</t>
        </is>
      </c>
      <c r="D44" s="9" t="inlineStr">
        <is>
          <t>文言</t>
        </is>
      </c>
      <c r="E44" s="9" t="inlineStr">
        <is>
          <t>透かし入り写真（サザビーズ・GRANTACT・ケンのロゴ）は「（透かし有・差替要）」と記載。元付から透かしなし原本をもらえれば差し替え。</t>
        </is>
      </c>
    </row>
    <row r="45">
      <c r="A45" s="9" t="inlineStr">
        <is>
          <t>01</t>
        </is>
      </c>
      <c r="B45" s="9" t="inlineStr">
        <is>
          <t>高輪ザ・レジデンス</t>
        </is>
      </c>
      <c r="C45" s="9" t="inlineStr">
        <is>
          <t>44階</t>
        </is>
      </c>
      <c r="D45" s="9" t="inlineStr">
        <is>
          <t>文言</t>
        </is>
      </c>
      <c r="E45" s="9" t="inlineStr">
        <is>
          <t>中学校区（高松中学校）はポータル情報のみ（公式未確認）。</t>
        </is>
      </c>
    </row>
    <row r="46">
      <c r="A46" s="9" t="inlineStr">
        <is>
          <t>01</t>
        </is>
      </c>
      <c r="B46" s="9" t="inlineStr">
        <is>
          <t>高輪ザ・レジデンス</t>
        </is>
      </c>
      <c r="C46" s="9" t="inlineStr">
        <is>
          <t>44階</t>
        </is>
      </c>
      <c r="D46" s="9" t="inlineStr">
        <is>
          <t>推測入力</t>
        </is>
      </c>
      <c r="E46" s="9" t="inlineStr">
        <is>
          <t>洋室5枚（16〜20）がどの居室（Bedroom1・2、サービスルーム等）に当たるかは特定できないため、すべて「洋室(21)」とした。写真18・19の格子壁の部屋を「寝室として使える」とした表現は推測。</t>
        </is>
      </c>
    </row>
    <row r="47">
      <c r="A47" s="9" t="inlineStr">
        <is>
          <t>01</t>
        </is>
      </c>
      <c r="B47" s="9" t="inlineStr">
        <is>
          <t>高輪ザ・レジデンス</t>
        </is>
      </c>
      <c r="C47" s="9" t="inlineStr">
        <is>
          <t>44階</t>
        </is>
      </c>
      <c r="D47" s="9" t="inlineStr">
        <is>
          <t>推測入力</t>
        </is>
      </c>
      <c r="E47" s="9" t="inlineStr">
        <is>
          <t>設備チェック「システムキッチン」「全面フローリング」は写真からの判断。</t>
        </is>
      </c>
    </row>
    <row r="48">
      <c r="A48" s="9" t="inlineStr">
        <is>
          <t>01</t>
        </is>
      </c>
      <c r="B48" s="9" t="inlineStr">
        <is>
          <t>高輪ザ・レジデンス</t>
        </is>
      </c>
      <c r="C48" s="9" t="inlineStr">
        <is>
          <t>44階</t>
        </is>
      </c>
      <c r="D48" s="9" t="inlineStr">
        <is>
          <t>推測入力</t>
        </is>
      </c>
      <c r="E48" s="9" t="inlineStr">
        <is>
          <t>玄関2か所を「家族と来客の動線を分けられる」「二世帯」とした表現は推測（図面に明記なし）。</t>
        </is>
      </c>
    </row>
    <row r="49">
      <c r="A49" s="9" t="inlineStr">
        <is>
          <t>01</t>
        </is>
      </c>
      <c r="B49" s="9" t="inlineStr">
        <is>
          <t>高輪ザ・レジデンス</t>
        </is>
      </c>
      <c r="C49" s="9" t="inlineStr">
        <is>
          <t>44階</t>
        </is>
      </c>
      <c r="D49" s="9" t="inlineStr">
        <is>
          <t>推測入力</t>
        </is>
      </c>
      <c r="E49" s="9" t="inlineStr">
        <is>
          <t>画像カテゴリ：勝手口は「玄関(7)」、共用部の選び方は46-47階と同じ（サロン・ラウンジ・廊下・中庭は19、グランドホール・フロントは44）。</t>
        </is>
      </c>
    </row>
    <row r="50">
      <c r="A50" s="9" t="inlineStr">
        <is>
          <t>01</t>
        </is>
      </c>
      <c r="B50" s="9" t="inlineStr">
        <is>
          <t>高輪ザ・レジデンス</t>
        </is>
      </c>
      <c r="C50" s="9" t="inlineStr">
        <is>
          <t>44階</t>
        </is>
      </c>
      <c r="D50" s="9" t="inlineStr">
        <is>
          <t>推測入力</t>
        </is>
      </c>
      <c r="E50" s="9" t="inlineStr">
        <is>
          <t>コメントの表現（暮らしのイメージ部分）は写真と図面からの推測を含む。</t>
        </is>
      </c>
    </row>
    <row r="51">
      <c r="A51" s="9" t="inlineStr">
        <is>
          <t>01</t>
        </is>
      </c>
      <c r="B51" s="9" t="inlineStr">
        <is>
          <t>高輪ザ・レジデンス</t>
        </is>
      </c>
      <c r="C51" s="9" t="inlineStr">
        <is>
          <t>46-47階</t>
        </is>
      </c>
      <c r="D51" s="9" t="inlineStr">
        <is>
          <t>文言</t>
        </is>
      </c>
      <c r="E51" s="9" t="inlineStr">
        <is>
          <t>月額合計（⑤#5・#6）：211,127円（A-p02の特定階負担金6,732円を含む計算）／204,395円（A-p01、特定階負担金なし）。採用候補の211,127円を入れた。</t>
        </is>
      </c>
    </row>
    <row r="52">
      <c r="A52" s="9" t="inlineStr">
        <is>
          <t>01</t>
        </is>
      </c>
      <c r="B52" s="9" t="inlineStr">
        <is>
          <t>高輪ザ・レジデンス</t>
        </is>
      </c>
      <c r="C52" s="9" t="inlineStr">
        <is>
          <t>46-47階</t>
        </is>
      </c>
      <c r="D52" s="9" t="inlineStr">
        <is>
          <t>文言</t>
        </is>
      </c>
      <c r="E52" s="9" t="inlineStr">
        <is>
          <t>向き（⑤#26）：南向き角住戸（A-p02）／南・西・東向き（A-p01）／南東（ケンHP）。「南」を入れた。</t>
        </is>
      </c>
    </row>
    <row r="53">
      <c r="A53" s="9" t="inlineStr">
        <is>
          <t>01</t>
        </is>
      </c>
      <c r="B53" s="9" t="inlineStr">
        <is>
          <t>高輪ザ・レジデンス</t>
        </is>
      </c>
      <c r="C53" s="9" t="inlineStr">
        <is>
          <t>46-47階</t>
        </is>
      </c>
      <c r="D53" s="9" t="inlineStr">
        <is>
          <t>文言</t>
        </is>
      </c>
      <c r="E53" s="9" t="inlineStr">
        <is>
          <t>間取り表記：1LDK＋S（A-p01）／1LDK＋Gym＋Sauna（A-p02）。A-p01の表記を入れた。</t>
        </is>
      </c>
    </row>
    <row r="54">
      <c r="A54" s="9" t="inlineStr">
        <is>
          <t>01</t>
        </is>
      </c>
      <c r="B54" s="9" t="inlineStr">
        <is>
          <t>高輪ザ・レジデンス</t>
        </is>
      </c>
      <c r="C54" s="9" t="inlineStr">
        <is>
          <t>46-47階</t>
        </is>
      </c>
      <c r="D54" s="9" t="inlineStr">
        <is>
          <t>文言</t>
        </is>
      </c>
      <c r="E54" s="9" t="inlineStr">
        <is>
          <t>リフォーム表記：2024年1月完成・キッチン等交換（A-p01）／「新築基準のフルリノベーション済」（A-p02）。コメントは2024年1月・交換内容の表現に留めた（「フルリノベーション」とは書いていない）。</t>
        </is>
      </c>
    </row>
    <row r="55">
      <c r="A55" s="9" t="inlineStr">
        <is>
          <t>01</t>
        </is>
      </c>
      <c r="B55" s="9" t="inlineStr">
        <is>
          <t>高輪ザ・レジデンス</t>
        </is>
      </c>
      <c r="C55" s="9" t="inlineStr">
        <is>
          <t>46-47階</t>
        </is>
      </c>
      <c r="D55" s="9" t="inlineStr">
        <is>
          <t>文言</t>
        </is>
      </c>
      <c r="E55" s="9" t="inlineStr">
        <is>
          <t>駐車場（⑤#28）：空無（A-p01）／有 35,000〜65,000円（A-p02）。「有（空き要確認）」と入れた。</t>
        </is>
      </c>
    </row>
    <row r="56">
      <c r="A56" s="9" t="inlineStr">
        <is>
          <t>01</t>
        </is>
      </c>
      <c r="B56" s="9" t="inlineStr">
        <is>
          <t>高輪ザ・レジデンス</t>
        </is>
      </c>
      <c r="C56" s="9" t="inlineStr">
        <is>
          <t>46-47階</t>
        </is>
      </c>
      <c r="D56" s="9" t="inlineStr">
        <is>
          <t>文言</t>
        </is>
      </c>
      <c r="E56" s="9" t="inlineStr">
        <is>
          <t>A-p02（サザビーズ）の図面に「広告掲載等は一切お断り」の表記。依頼者は承諾取得済との指示だが、掲載前に念のため確認。</t>
        </is>
      </c>
    </row>
    <row r="57">
      <c r="A57" s="9" t="inlineStr">
        <is>
          <t>01</t>
        </is>
      </c>
      <c r="B57" s="9" t="inlineStr">
        <is>
          <t>高輪ザ・レジデンス</t>
        </is>
      </c>
      <c r="C57" s="9" t="inlineStr">
        <is>
          <t>46-47階</t>
        </is>
      </c>
      <c r="D57" s="9" t="inlineStr">
        <is>
          <t>文言</t>
        </is>
      </c>
      <c r="E57" s="9" t="inlineStr">
        <is>
          <t>写真のうちサザビーズ由来はほぼ全カットに透かし（ロゴ）あり。差し替え用の原本をサザビーズ／ケンに依頼するとよい。</t>
        </is>
      </c>
    </row>
    <row r="58">
      <c r="A58" s="9" t="inlineStr">
        <is>
          <t>01</t>
        </is>
      </c>
      <c r="B58" s="9" t="inlineStr">
        <is>
          <t>高輪ザ・レジデンス</t>
        </is>
      </c>
      <c r="C58" s="9" t="inlineStr">
        <is>
          <t>46-47階</t>
        </is>
      </c>
      <c r="D58" s="9" t="inlineStr">
        <is>
          <t>文言</t>
        </is>
      </c>
      <c r="E58" s="9" t="inlineStr">
        <is>
          <t>交通（⑤#7〜#12）：高輪台 7分（A-p01ほか）／6分（A-p02・A-p08）、白金台 10分（A-p01・東京建物ライブラリー）／8分（A-p02・A-p04・A-p05）、泉岳寺 12分（東京建物ライブラリー）／15分（A-p01）、高輪ゲートウェイ 16分（A-p01）／14分（A-p02）／11分（A-p06）、品川 16分（東京建物ライブラリー）／15分（A-p08）。採用候補を入れたが、短い値を使う場合は元付に計測根拠を確認。</t>
        </is>
      </c>
    </row>
    <row r="59">
      <c r="A59" s="9" t="inlineStr">
        <is>
          <t>01</t>
        </is>
      </c>
      <c r="B59" s="9" t="inlineStr">
        <is>
          <t>高輪ザ・レジデンス</t>
        </is>
      </c>
      <c r="C59" s="9" t="inlineStr">
        <is>
          <t>46-47階</t>
        </is>
      </c>
      <c r="D59" s="9" t="inlineStr">
        <is>
          <t>文言</t>
        </is>
      </c>
      <c r="E59" s="9" t="inlineStr">
        <is>
          <t>用途地域（⑤#3）：商業・第一種住居・近隣商業（A-p04、港区用途地域図）／第一種住居・商業（A-p01）／商業のみ（A-p08）ほか。採用候補（3種）を入れた。面積按分は重説で確認。</t>
        </is>
      </c>
    </row>
    <row r="60">
      <c r="A60" s="9" t="inlineStr">
        <is>
          <t>01</t>
        </is>
      </c>
      <c r="B60" s="9" t="inlineStr">
        <is>
          <t>高輪ザ・レジデンス</t>
        </is>
      </c>
      <c r="C60" s="9" t="inlineStr">
        <is>
          <t>46-47階</t>
        </is>
      </c>
      <c r="D60" s="9" t="inlineStr">
        <is>
          <t>文言</t>
        </is>
      </c>
      <c r="E60" s="9" t="inlineStr">
        <is>
          <t>管理員の勤務形態（⑤#30）：常勤（A-p01）／常駐（A-p02・A-p08）／日勤（A-p05・A-p06）。24時間有人管理は複数図面で一致。</t>
        </is>
      </c>
    </row>
    <row r="61">
      <c r="A61" s="9" t="inlineStr">
        <is>
          <t>01</t>
        </is>
      </c>
      <c r="B61" s="9" t="inlineStr">
        <is>
          <t>高輪ザ・レジデンス</t>
        </is>
      </c>
      <c r="C61" s="9" t="inlineStr">
        <is>
          <t>46-47階</t>
        </is>
      </c>
      <c r="D61" s="9" t="inlineStr">
        <is>
          <t>文言</t>
        </is>
      </c>
      <c r="E61" s="9" t="inlineStr">
        <is>
          <t>総戸数（⑤#23）：574戸（全図面）／575戸（東京建物ライブラリー）。図面値を入れた。</t>
        </is>
      </c>
    </row>
    <row r="62">
      <c r="A62" s="9" t="inlineStr">
        <is>
          <t>01</t>
        </is>
      </c>
      <c r="B62" s="9" t="inlineStr">
        <is>
          <t>高輪ザ・レジデンス</t>
        </is>
      </c>
      <c r="C62" s="9" t="inlineStr">
        <is>
          <t>46-47階</t>
        </is>
      </c>
      <c r="D62" s="9" t="inlineStr">
        <is>
          <t>文言</t>
        </is>
      </c>
      <c r="E62" s="9" t="inlineStr">
        <is>
          <t>駐車場（⑤#28・#37）：空無（A-p01）／有 35,000〜65,000円（A-p02）／確認中（A-p06）。空き・料金・サイズは管理会社で確認。</t>
        </is>
      </c>
    </row>
    <row r="63">
      <c r="A63" s="9" t="inlineStr">
        <is>
          <t>01</t>
        </is>
      </c>
      <c r="B63" s="9" t="inlineStr">
        <is>
          <t>高輪ザ・レジデンス</t>
        </is>
      </c>
      <c r="C63" s="9" t="inlineStr">
        <is>
          <t>46-47階</t>
        </is>
      </c>
      <c r="D63" s="9" t="inlineStr">
        <is>
          <t>文言</t>
        </is>
      </c>
      <c r="E63" s="9" t="inlineStr">
        <is>
          <t>トランクルーム（⑤#29）：空無（A-p01）・無（リバブルHP）／各住戸にあり（モダンスタンダード）。入力しない。</t>
        </is>
      </c>
    </row>
    <row r="64">
      <c r="A64" s="9" t="inlineStr">
        <is>
          <t>01</t>
        </is>
      </c>
      <c r="B64" s="9" t="inlineStr">
        <is>
          <t>高輪ザ・レジデンス</t>
        </is>
      </c>
      <c r="C64" s="9" t="inlineStr">
        <is>
          <t>46-47階</t>
        </is>
      </c>
      <c r="D64" s="9" t="inlineStr">
        <is>
          <t>文言</t>
        </is>
      </c>
      <c r="E64" s="9" t="inlineStr">
        <is>
          <t>制震構造：A-p06「大規模制震タワーレジデンス」・ケンHP。施工・設計会社の公式資料は未確認（⑤#17）。</t>
        </is>
      </c>
    </row>
    <row r="65">
      <c r="A65" s="9" t="inlineStr">
        <is>
          <t>01</t>
        </is>
      </c>
      <c r="B65" s="9" t="inlineStr">
        <is>
          <t>高輪ザ・レジデンス</t>
        </is>
      </c>
      <c r="C65" s="9" t="inlineStr">
        <is>
          <t>46-47階</t>
        </is>
      </c>
      <c r="D65" s="9" t="inlineStr">
        <is>
          <t>文言</t>
        </is>
      </c>
      <c r="E65" s="9" t="inlineStr">
        <is>
          <t>共用部写真は同じ建物の別住戸の元付（野村・東急リバブル・サザビーズ・ケン）のHP由来を含む。依頼者の転載許可が当該住戸以外の広告にも及ぶか、念のため確認。</t>
        </is>
      </c>
    </row>
    <row r="66">
      <c r="A66" s="9" t="inlineStr">
        <is>
          <t>01</t>
        </is>
      </c>
      <c r="B66" s="9" t="inlineStr">
        <is>
          <t>高輪ザ・レジデンス</t>
        </is>
      </c>
      <c r="C66" s="9" t="inlineStr">
        <is>
          <t>46-47階</t>
        </is>
      </c>
      <c r="D66" s="9" t="inlineStr">
        <is>
          <t>文言</t>
        </is>
      </c>
      <c r="E66" s="9" t="inlineStr">
        <is>
          <t>透かし入り写真（サザビーズ・GRANTACT・ケンのロゴ）は「（透かし有・差替要）」と記載。元付から透かしなし原本をもらえれば差し替え。</t>
        </is>
      </c>
    </row>
    <row r="67">
      <c r="A67" s="9" t="inlineStr">
        <is>
          <t>01</t>
        </is>
      </c>
      <c r="B67" s="9" t="inlineStr">
        <is>
          <t>高輪ザ・レジデンス</t>
        </is>
      </c>
      <c r="C67" s="9" t="inlineStr">
        <is>
          <t>46-47階</t>
        </is>
      </c>
      <c r="D67" s="9" t="inlineStr">
        <is>
          <t>文言</t>
        </is>
      </c>
      <c r="E67" s="9" t="inlineStr">
        <is>
          <t>中学校区（高松中学校）はポータル情報のみ（公式未確認）。</t>
        </is>
      </c>
    </row>
    <row r="68">
      <c r="A68" s="9" t="inlineStr">
        <is>
          <t>01</t>
        </is>
      </c>
      <c r="B68" s="9" t="inlineStr">
        <is>
          <t>高輪ザ・レジデンス</t>
        </is>
      </c>
      <c r="C68" s="9" t="inlineStr">
        <is>
          <t>46-47階</t>
        </is>
      </c>
      <c r="D68" s="9" t="inlineStr">
        <is>
          <t>推測入力</t>
        </is>
      </c>
      <c r="E68" s="9" t="inlineStr">
        <is>
          <t>設備チェック「トイレ2ヶ所」：A-p01平面図のPowder Room（上下階各1）から判断。</t>
        </is>
      </c>
    </row>
    <row r="69">
      <c r="A69" s="9" t="inlineStr">
        <is>
          <t>01</t>
        </is>
      </c>
      <c r="B69" s="9" t="inlineStr">
        <is>
          <t>高輪ザ・レジデンス</t>
        </is>
      </c>
      <c r="C69" s="9" t="inlineStr">
        <is>
          <t>46-47階</t>
        </is>
      </c>
      <c r="D69" s="9" t="inlineStr">
        <is>
          <t>推測入力</t>
        </is>
      </c>
      <c r="E69" s="9" t="inlineStr">
        <is>
          <t>画像カテゴリ：バー・ワインセラー・サウナは「その他内観(38)」、ジム・サービスルームは「その他居室(37)」、シャワールームは「バス(6)」を選択（該当カテゴリがないため）。</t>
        </is>
      </c>
    </row>
    <row r="70">
      <c r="A70" s="9" t="inlineStr">
        <is>
          <t>01</t>
        </is>
      </c>
      <c r="B70" s="9" t="inlineStr">
        <is>
          <t>高輪ザ・レジデンス</t>
        </is>
      </c>
      <c r="C70" s="9" t="inlineStr">
        <is>
          <t>46-47階</t>
        </is>
      </c>
      <c r="D70" s="9" t="inlineStr">
        <is>
          <t>推測入力</t>
        </is>
      </c>
      <c r="E70" s="9" t="inlineStr">
        <is>
          <t>画像カテゴリ：グランドホール・フロントは「ロビー(44)」、サロン・ラウンジ・廊下・中庭は「その他共用部分(19)」、2枚目以降の外観は「外観(2)」（通常スロットで2が選べない場合は「その他(15)」）。</t>
        </is>
      </c>
    </row>
    <row r="71">
      <c r="A71" s="9" t="inlineStr">
        <is>
          <t>01</t>
        </is>
      </c>
      <c r="B71" s="9" t="inlineStr">
        <is>
          <t>高輪ザ・レジデンス</t>
        </is>
      </c>
      <c r="C71" s="9" t="inlineStr">
        <is>
          <t>46-47階</t>
        </is>
      </c>
      <c r="D71" s="9" t="inlineStr">
        <is>
          <t>推測入力</t>
        </is>
      </c>
      <c r="E71" s="9" t="inlineStr">
        <is>
          <t>コメントの表現（暮らしのイメージ部分）は写真と図面からの推測を含む。</t>
        </is>
      </c>
    </row>
    <row r="72">
      <c r="A72" s="9" t="inlineStr">
        <is>
          <t>01</t>
        </is>
      </c>
      <c r="B72" s="9" t="inlineStr">
        <is>
          <t>高輪ザ・レジデンス</t>
        </is>
      </c>
      <c r="C72" s="9" t="inlineStr">
        <is>
          <t>46-47階</t>
        </is>
      </c>
      <c r="D72" s="9" t="inlineStr">
        <is>
          <t>推測入力</t>
        </is>
      </c>
      <c r="E72" s="9" t="inlineStr">
        <is>
          <t>写真04の「リビングダイニング」から見た円卓の位置や、写真10の家具・テレビは撮影時のもの（家具相談の対象かは元付に確認）。</t>
        </is>
      </c>
    </row>
    <row r="73">
      <c r="A73" s="9" t="inlineStr">
        <is>
          <t>02</t>
        </is>
      </c>
      <c r="B73" s="9" t="inlineStr">
        <is>
          <t>アクシア青山</t>
        </is>
      </c>
      <c r="C73" s="9" t="inlineStr">
        <is>
          <t>20階</t>
        </is>
      </c>
      <c r="D73" s="9" t="inlineStr">
        <is>
          <t>文言</t>
        </is>
      </c>
      <c r="E73" s="9" t="inlineStr">
        <is>
          <t>地上階数（⑤#1）：地上20階・地下1階（A-p03・元付HP・SUUMO）／地上21階・地下1階（設計者UG・リバブル等）。21階部分の用途は未確認のため「最上階」は付けず、「上階に住戸なし」（A-p03の表記）で表現した。</t>
        </is>
      </c>
    </row>
    <row r="74">
      <c r="A74" s="9" t="inlineStr">
        <is>
          <t>02</t>
        </is>
      </c>
      <c r="B74" s="9" t="inlineStr">
        <is>
          <t>アクシア青山</t>
        </is>
      </c>
      <c r="C74" s="9" t="inlineStr">
        <is>
          <t>20階</t>
        </is>
      </c>
      <c r="D74" s="9" t="inlineStr">
        <is>
          <t>文言</t>
        </is>
      </c>
      <c r="E74" s="9" t="inlineStr">
        <is>
          <t>価格の税区分：A-p03に税込／非課税の記載なし。元付に確認して入力。</t>
        </is>
      </c>
    </row>
    <row r="75">
      <c r="A75" s="9" t="inlineStr">
        <is>
          <t>02</t>
        </is>
      </c>
      <c r="B75" s="9" t="inlineStr">
        <is>
          <t>アクシア青山</t>
        </is>
      </c>
      <c r="C75" s="9" t="inlineStr">
        <is>
          <t>20階</t>
        </is>
      </c>
      <c r="D75" s="9" t="inlineStr">
        <is>
          <t>文言</t>
        </is>
      </c>
      <c r="E75" s="9" t="inlineStr">
        <is>
          <t>所在地の住居表示／地番の別：A-p03に記載なし。</t>
        </is>
      </c>
    </row>
    <row r="76">
      <c r="A76" s="9" t="inlineStr">
        <is>
          <t>02</t>
        </is>
      </c>
      <c r="B76" s="9" t="inlineStr">
        <is>
          <t>アクシア青山</t>
        </is>
      </c>
      <c r="C76" s="9" t="inlineStr">
        <is>
          <t>20階</t>
        </is>
      </c>
      <c r="D76" s="9" t="inlineStr">
        <is>
          <t>文言</t>
        </is>
      </c>
      <c r="E76" s="9" t="inlineStr">
        <is>
          <t>向き（⑤#11）：西（元付HP・SUUMO）／4面採光（A-p03）。「西」を入れた。</t>
        </is>
      </c>
    </row>
    <row r="77">
      <c r="A77" s="9" t="inlineStr">
        <is>
          <t>02</t>
        </is>
      </c>
      <c r="B77" s="9" t="inlineStr">
        <is>
          <t>アクシア青山</t>
        </is>
      </c>
      <c r="C77" s="9" t="inlineStr">
        <is>
          <t>20階</t>
        </is>
      </c>
      <c r="D77" s="9" t="inlineStr">
        <is>
          <t>文言</t>
        </is>
      </c>
      <c r="E77" s="9" t="inlineStr">
        <is>
          <t>トイレ数（⑤#10）：3か所（A-p03 Sales Point・間取図）／2か所（元付HP設備欄・SUUMO）。3か所を入れた。</t>
        </is>
      </c>
    </row>
    <row r="78">
      <c r="A78" s="9" t="inlineStr">
        <is>
          <t>02</t>
        </is>
      </c>
      <c r="B78" s="9" t="inlineStr">
        <is>
          <t>アクシア青山</t>
        </is>
      </c>
      <c r="C78" s="9" t="inlineStr">
        <is>
          <t>20階</t>
        </is>
      </c>
      <c r="D78" s="9" t="inlineStr">
        <is>
          <t>文言</t>
        </is>
      </c>
      <c r="E78" s="9" t="inlineStr">
        <is>
          <t>竣工年月（⑤#2）：2002年5月（A-p03）／2002年6月（元付ライブラリ・リバブル等）。</t>
        </is>
      </c>
    </row>
    <row r="79">
      <c r="A79" s="9" t="inlineStr">
        <is>
          <t>02</t>
        </is>
      </c>
      <c r="B79" s="9" t="inlineStr">
        <is>
          <t>アクシア青山</t>
        </is>
      </c>
      <c r="C79" s="9" t="inlineStr">
        <is>
          <t>20階</t>
        </is>
      </c>
      <c r="D79" s="9" t="inlineStr">
        <is>
          <t>文言</t>
        </is>
      </c>
      <c r="E79" s="9" t="inlineStr">
        <is>
          <t>総戸数（⑤#3）：103戸（A-p03）／住戸数100戸（設計者UG）。</t>
        </is>
      </c>
    </row>
    <row r="80">
      <c r="A80" s="9" t="inlineStr">
        <is>
          <t>02</t>
        </is>
      </c>
      <c r="B80" s="9" t="inlineStr">
        <is>
          <t>アクシア青山</t>
        </is>
      </c>
      <c r="C80" s="9" t="inlineStr">
        <is>
          <t>20階</t>
        </is>
      </c>
      <c r="D80" s="9" t="inlineStr">
        <is>
          <t>文言</t>
        </is>
      </c>
      <c r="E80" s="9" t="inlineStr">
        <is>
          <t>駅徒歩（⑤#4）：青山一丁目4分・乃木坂7分・外苑前11分（A-p03）／青山一丁目2分・乃木坂5〜6分・外苑前12分（ケン等）。図面値を入れた。</t>
        </is>
      </c>
    </row>
    <row r="81">
      <c r="A81" s="9" t="inlineStr">
        <is>
          <t>02</t>
        </is>
      </c>
      <c r="B81" s="9" t="inlineStr">
        <is>
          <t>アクシア青山</t>
        </is>
      </c>
      <c r="C81" s="9" t="inlineStr">
        <is>
          <t>20階</t>
        </is>
      </c>
      <c r="D81" s="9" t="inlineStr">
        <is>
          <t>文言</t>
        </is>
      </c>
      <c r="E81" s="9" t="inlineStr">
        <is>
          <t>ペット（⑤#13）：不可（A-p03）／小鳥2羽・観賞魚・盲導犬のみ可（住まいの教科書）。「不可」を入れた。</t>
        </is>
      </c>
    </row>
    <row r="82">
      <c r="A82" s="9" t="inlineStr">
        <is>
          <t>02</t>
        </is>
      </c>
      <c r="B82" s="9" t="inlineStr">
        <is>
          <t>アクシア青山</t>
        </is>
      </c>
      <c r="C82" s="9" t="inlineStr">
        <is>
          <t>20階</t>
        </is>
      </c>
      <c r="D82" s="9" t="inlineStr">
        <is>
          <t>文言</t>
        </is>
      </c>
      <c r="E82" s="9" t="inlineStr">
        <is>
          <t>用途地域（⑤#12）：商業地域・第二種住居地域（A-p03）／商業のみ（SUUMO）。</t>
        </is>
      </c>
    </row>
    <row r="83">
      <c r="A83" s="9" t="inlineStr">
        <is>
          <t>02</t>
        </is>
      </c>
      <c r="B83" s="9" t="inlineStr">
        <is>
          <t>アクシア青山</t>
        </is>
      </c>
      <c r="C83" s="9" t="inlineStr">
        <is>
          <t>20階</t>
        </is>
      </c>
      <c r="D83" s="9" t="inlineStr">
        <is>
          <t>文言</t>
        </is>
      </c>
      <c r="E83" s="9" t="inlineStr">
        <is>
          <t>リフォーム履歴：未確認（元付HP特徴欄に「リフォーム」の語だけあり）。「リフォーム済」は付けていない。</t>
        </is>
      </c>
    </row>
    <row r="84">
      <c r="A84" s="9" t="inlineStr">
        <is>
          <t>02</t>
        </is>
      </c>
      <c r="B84" s="9" t="inlineStr">
        <is>
          <t>アクシア青山</t>
        </is>
      </c>
      <c r="C84" s="9" t="inlineStr">
        <is>
          <t>20階</t>
        </is>
      </c>
      <c r="D84" s="9" t="inlineStr">
        <is>
          <t>文言</t>
        </is>
      </c>
      <c r="E84" s="9" t="inlineStr">
        <is>
          <t>ルーフテラスの写真（02_ルーフテラス・14_眺望3）は販売図面からの切り出しで低解像度。元付に原本を依頼するとよい。</t>
        </is>
      </c>
    </row>
    <row r="85">
      <c r="A85" s="9" t="inlineStr">
        <is>
          <t>02</t>
        </is>
      </c>
      <c r="B85" s="9" t="inlineStr">
        <is>
          <t>アクシア青山</t>
        </is>
      </c>
      <c r="C85" s="9" t="inlineStr">
        <is>
          <t>20階</t>
        </is>
      </c>
      <c r="D85" s="9" t="inlineStr">
        <is>
          <t>文言</t>
        </is>
      </c>
      <c r="E85" s="9" t="inlineStr">
        <is>
          <t>小学校区・中学校区・バイク置場・病院は他社HP／ポータル由来（公式未確認）。</t>
        </is>
      </c>
    </row>
    <row r="86">
      <c r="A86" s="9" t="inlineStr">
        <is>
          <t>02</t>
        </is>
      </c>
      <c r="B86" s="9" t="inlineStr">
        <is>
          <t>アクシア青山</t>
        </is>
      </c>
      <c r="C86" s="9" t="inlineStr">
        <is>
          <t>20階</t>
        </is>
      </c>
      <c r="D86" s="9" t="inlineStr">
        <is>
          <t>文言</t>
        </is>
      </c>
      <c r="E86" s="9" t="inlineStr">
        <is>
          <t>A-p03の右下に「【宅建業者様専用】」の表記（QR部分）。依頼者は広告承諾取得済との指示。</t>
        </is>
      </c>
    </row>
    <row r="87">
      <c r="A87" s="9" t="inlineStr">
        <is>
          <t>02</t>
        </is>
      </c>
      <c r="B87" s="9" t="inlineStr">
        <is>
          <t>アクシア青山</t>
        </is>
      </c>
      <c r="C87" s="9" t="inlineStr">
        <is>
          <t>20階</t>
        </is>
      </c>
      <c r="D87" s="9" t="inlineStr">
        <is>
          <t>文言</t>
        </is>
      </c>
      <c r="E87" s="9" t="inlineStr">
        <is>
          <t>未取得の部位：トイレ、シャワールーム、WIC、玄関、勝手口、主寝室（物件情報⑦）。</t>
        </is>
      </c>
    </row>
    <row r="88">
      <c r="A88" s="9" t="inlineStr">
        <is>
          <t>02</t>
        </is>
      </c>
      <c r="B88" s="9" t="inlineStr">
        <is>
          <t>アクシア青山</t>
        </is>
      </c>
      <c r="C88" s="9" t="inlineStr">
        <is>
          <t>20階</t>
        </is>
      </c>
      <c r="D88" s="9" t="inlineStr">
        <is>
          <t>推測入力</t>
        </is>
      </c>
      <c r="E88" s="9" t="inlineStr">
        <is>
          <t>洋室3枚（08〜10）が主寝室・Bed room1・2のどれかは特定できないため、すべて「洋室(21)」とした。</t>
        </is>
      </c>
    </row>
    <row r="89">
      <c r="A89" s="9" t="inlineStr">
        <is>
          <t>02</t>
        </is>
      </c>
      <c r="B89" s="9" t="inlineStr">
        <is>
          <t>アクシア青山</t>
        </is>
      </c>
      <c r="C89" s="9" t="inlineStr">
        <is>
          <t>20階</t>
        </is>
      </c>
      <c r="D89" s="9" t="inlineStr">
        <is>
          <t>推測入力</t>
        </is>
      </c>
      <c r="E89" s="9" t="inlineStr">
        <is>
          <t>ファミリールームは「その他居室(37)」、前面道路は「その他(15)」、オートロックは「エントランス(16)」、メールボックス・宅配ボックスは「その他共用部分(19)」を選択。</t>
        </is>
      </c>
    </row>
    <row r="90">
      <c r="A90" s="9" t="inlineStr">
        <is>
          <t>02</t>
        </is>
      </c>
      <c r="B90" s="9" t="inlineStr">
        <is>
          <t>アクシア青山</t>
        </is>
      </c>
      <c r="C90" s="9" t="inlineStr">
        <is>
          <t>20階</t>
        </is>
      </c>
      <c r="D90" s="9" t="inlineStr">
        <is>
          <t>推測入力</t>
        </is>
      </c>
      <c r="E90" s="9" t="inlineStr">
        <is>
          <t>写真の眺望方向（赤坂・六本木方面など）は写真と地図からの推測。</t>
        </is>
      </c>
    </row>
    <row r="91">
      <c r="A91" s="9" t="inlineStr">
        <is>
          <t>02</t>
        </is>
      </c>
      <c r="B91" s="9" t="inlineStr">
        <is>
          <t>アクシア青山</t>
        </is>
      </c>
      <c r="C91" s="9" t="inlineStr">
        <is>
          <t>20階</t>
        </is>
      </c>
      <c r="D91" s="9" t="inlineStr">
        <is>
          <t>推測入力</t>
        </is>
      </c>
      <c r="E91" s="9" t="inlineStr">
        <is>
          <t>外観写真の「外苑東通り沿い」は物件情報⑥（長文案）の記載に基づく表現。</t>
        </is>
      </c>
    </row>
    <row r="92">
      <c r="A92" s="9" t="inlineStr">
        <is>
          <t>02</t>
        </is>
      </c>
      <c r="B92" s="9" t="inlineStr">
        <is>
          <t>アクシア青山</t>
        </is>
      </c>
      <c r="C92" s="9" t="inlineStr">
        <is>
          <t>20階</t>
        </is>
      </c>
      <c r="D92" s="9" t="inlineStr">
        <is>
          <t>推測入力</t>
        </is>
      </c>
      <c r="E92" s="9" t="inlineStr">
        <is>
          <t>コメントの表現（暮らしのイメージ部分）は写真と図面からの推測を含む。</t>
        </is>
      </c>
    </row>
    <row r="93">
      <c r="A93" s="9" t="inlineStr">
        <is>
          <t>03</t>
        </is>
      </c>
      <c r="B93" s="9" t="inlineStr">
        <is>
          <t>シティタワー高輪</t>
        </is>
      </c>
      <c r="C93" s="9" t="inlineStr">
        <is>
          <t>34階</t>
        </is>
      </c>
      <c r="D93" s="9" t="inlineStr">
        <is>
          <t>文言</t>
        </is>
      </c>
      <c r="E93" s="9" t="inlineStr">
        <is>
          <t>写真06_眺望（販売図面の切り出し）には「絶景の東京タワービュー ※天候による」の文字が入っている。「絶景」は広告表現として避けたいので、文字部分をトリミングするか元付に文字なし原本を依頼（コメントは「（透かし有・差替要）」とした）。</t>
        </is>
      </c>
    </row>
    <row r="94">
      <c r="A94" s="9" t="inlineStr">
        <is>
          <t>03</t>
        </is>
      </c>
      <c r="B94" s="9" t="inlineStr">
        <is>
          <t>シティタワー高輪</t>
        </is>
      </c>
      <c r="C94" s="9" t="inlineStr">
        <is>
          <t>34階</t>
        </is>
      </c>
      <c r="D94" s="9" t="inlineStr">
        <is>
          <t>文言</t>
        </is>
      </c>
      <c r="E94" s="9" t="inlineStr">
        <is>
          <t>写真05_エントランスラウンジ（販売図面の切り出し）の右下に「エントランスラウンジ」の文字入り。</t>
        </is>
      </c>
    </row>
    <row r="95">
      <c r="A95" s="9" t="inlineStr">
        <is>
          <t>03</t>
        </is>
      </c>
      <c r="B95" s="9" t="inlineStr">
        <is>
          <t>シティタワー高輪</t>
        </is>
      </c>
      <c r="C95" s="9" t="inlineStr">
        <is>
          <t>34階</t>
        </is>
      </c>
      <c r="D95" s="9" t="inlineStr">
        <is>
          <t>文言</t>
        </is>
      </c>
      <c r="E95" s="9" t="inlineStr">
        <is>
          <t>A-p07の図面に「※無断広告掲載禁止」「広告掲載およびご案内希望の場合は事前にご連絡下さい」の表記。依頼者は承諾取得済との指示だが、掲載前に連絡済みか確認。</t>
        </is>
      </c>
    </row>
    <row r="96">
      <c r="A96" s="9" t="inlineStr">
        <is>
          <t>03</t>
        </is>
      </c>
      <c r="B96" s="9" t="inlineStr">
        <is>
          <t>シティタワー高輪</t>
        </is>
      </c>
      <c r="C96" s="9" t="inlineStr">
        <is>
          <t>34階</t>
        </is>
      </c>
      <c r="D96" s="9" t="inlineStr">
        <is>
          <t>文言</t>
        </is>
      </c>
      <c r="E96" s="9" t="inlineStr">
        <is>
          <t>元付（売主）小田急不動産の宅建業免許番号：図面・物件情報に記載なし。入力前に確認。</t>
        </is>
      </c>
    </row>
    <row r="97">
      <c r="A97" s="9" t="inlineStr">
        <is>
          <t>03</t>
        </is>
      </c>
      <c r="B97" s="9" t="inlineStr">
        <is>
          <t>シティタワー高輪</t>
        </is>
      </c>
      <c r="C97" s="9" t="inlineStr">
        <is>
          <t>34階</t>
        </is>
      </c>
      <c r="D97" s="9" t="inlineStr">
        <is>
          <t>文言</t>
        </is>
      </c>
      <c r="E97" s="9" t="inlineStr">
        <is>
          <t>竣工年月：2004年1月（A-p07・小田急HP）／2004年3月（住友不動産系・リバブル・Wikipedia）。図面値を入れた。</t>
        </is>
      </c>
    </row>
    <row r="98">
      <c r="A98" s="9" t="inlineStr">
        <is>
          <t>03</t>
        </is>
      </c>
      <c r="B98" s="9" t="inlineStr">
        <is>
          <t>シティタワー高輪</t>
        </is>
      </c>
      <c r="C98" s="9" t="inlineStr">
        <is>
          <t>34階</t>
        </is>
      </c>
      <c r="D98" s="9" t="inlineStr">
        <is>
          <t>文言</t>
        </is>
      </c>
      <c r="E98" s="9" t="inlineStr">
        <is>
          <t>敷地面積：4,386.90㎡（A-p07）／4,388.91㎡（住友不動産系・Wikipedia）。図面値を入れた。</t>
        </is>
      </c>
    </row>
    <row r="99">
      <c r="A99" s="9" t="inlineStr">
        <is>
          <t>03</t>
        </is>
      </c>
      <c r="B99" s="9" t="inlineStr">
        <is>
          <t>シティタワー高輪</t>
        </is>
      </c>
      <c r="C99" s="9" t="inlineStr">
        <is>
          <t>34階</t>
        </is>
      </c>
      <c r="D99" s="9" t="inlineStr">
        <is>
          <t>文言</t>
        </is>
      </c>
      <c r="E99" s="9" t="inlineStr">
        <is>
          <t>駅徒歩：白金高輪7分（A-p07）／6分（小田急HP POINT欄・リバブル）、高輪台8分（A-p07）／9分（SUUMO）／10分（ステップ概要・KEN）、白金台11分（A-p07）／10分（住友不動産系）、高輪ゲートウェイ16分（A-p07）／17分（KEN）。図面値を入れた。</t>
        </is>
      </c>
    </row>
    <row r="100">
      <c r="A100" s="9" t="inlineStr">
        <is>
          <t>03</t>
        </is>
      </c>
      <c r="B100" s="9" t="inlineStr">
        <is>
          <t>シティタワー高輪</t>
        </is>
      </c>
      <c r="C100" s="9" t="inlineStr">
        <is>
          <t>34階</t>
        </is>
      </c>
      <c r="D100" s="9" t="inlineStr">
        <is>
          <t>文言</t>
        </is>
      </c>
      <c r="E100" s="9" t="inlineStr">
        <is>
          <t>管理方式：常駐管理（A-p07）／日勤（小田急HP・マンションレビュー）。</t>
        </is>
      </c>
    </row>
    <row r="101">
      <c r="A101" s="9" t="inlineStr">
        <is>
          <t>03</t>
        </is>
      </c>
      <c r="B101" s="9" t="inlineStr">
        <is>
          <t>シティタワー高輪</t>
        </is>
      </c>
      <c r="C101" s="9" t="inlineStr">
        <is>
          <t>34階</t>
        </is>
      </c>
      <c r="D101" s="9" t="inlineStr">
        <is>
          <t>文言</t>
        </is>
      </c>
      <c r="E101" s="9" t="inlineStr">
        <is>
          <t>分譲会社：住友不動産（A-p07）／住友不動産・デ・リードコーポレーション（住友不動産系物件紹介サイト）。</t>
        </is>
      </c>
    </row>
    <row r="102">
      <c r="A102" s="9" t="inlineStr">
        <is>
          <t>03</t>
        </is>
      </c>
      <c r="B102" s="9" t="inlineStr">
        <is>
          <t>シティタワー高輪</t>
        </is>
      </c>
      <c r="C102" s="9" t="inlineStr">
        <is>
          <t>34階</t>
        </is>
      </c>
      <c r="D102" s="9" t="inlineStr">
        <is>
          <t>文言</t>
        </is>
      </c>
      <c r="E102" s="9" t="inlineStr">
        <is>
          <t>向き：北東（小田急HP・SUUMO）。図面に向きの記載なし（方位記号からはバルコニー側が東やや北寄り）。</t>
        </is>
      </c>
    </row>
    <row r="103">
      <c r="A103" s="9" t="inlineStr">
        <is>
          <t>03</t>
        </is>
      </c>
      <c r="B103" s="9" t="inlineStr">
        <is>
          <t>シティタワー高輪</t>
        </is>
      </c>
      <c r="C103" s="9" t="inlineStr">
        <is>
          <t>34階</t>
        </is>
      </c>
      <c r="D103" s="9" t="inlineStr">
        <is>
          <t>文言</t>
        </is>
      </c>
      <c r="E103" s="9" t="inlineStr">
        <is>
          <t>間取り表記：5LDK＋3WIC＋SIC（A-p07）／5LDK（小田急HP概要・SUUMO）。</t>
        </is>
      </c>
    </row>
    <row r="104">
      <c r="A104" s="9" t="inlineStr">
        <is>
          <t>03</t>
        </is>
      </c>
      <c r="B104" s="9" t="inlineStr">
        <is>
          <t>シティタワー高輪</t>
        </is>
      </c>
      <c r="C104" s="9" t="inlineStr">
        <is>
          <t>34階</t>
        </is>
      </c>
      <c r="D104" s="9" t="inlineStr">
        <is>
          <t>文言</t>
        </is>
      </c>
      <c r="E104" s="9" t="inlineStr">
        <is>
          <t>キッチン加熱機器：IH（小田急HP、写真09で確認）／分譲時はガスコンロ。ディスポーザーは分譲時仕様のみ確認（現況未確認のため設備チェックに入れていない）。</t>
        </is>
      </c>
    </row>
    <row r="105">
      <c r="A105" s="9" t="inlineStr">
        <is>
          <t>03</t>
        </is>
      </c>
      <c r="B105" s="9" t="inlineStr">
        <is>
          <t>シティタワー高輪</t>
        </is>
      </c>
      <c r="C105" s="9" t="inlineStr">
        <is>
          <t>34階</t>
        </is>
      </c>
      <c r="D105" s="9" t="inlineStr">
        <is>
          <t>文言</t>
        </is>
      </c>
      <c r="E105" s="9" t="inlineStr">
        <is>
          <t>大規模修繕2016年6月完了は東急リバブルのライブラリー記載のみ（一次資料未確認）。</t>
        </is>
      </c>
    </row>
    <row r="106">
      <c r="A106" s="9" t="inlineStr">
        <is>
          <t>03</t>
        </is>
      </c>
      <c r="B106" s="9" t="inlineStr">
        <is>
          <t>シティタワー高輪</t>
        </is>
      </c>
      <c r="C106" s="9" t="inlineStr">
        <is>
          <t>34階</t>
        </is>
      </c>
      <c r="D106" s="9" t="inlineStr">
        <is>
          <t>文言</t>
        </is>
      </c>
      <c r="E106" s="9" t="inlineStr">
        <is>
          <t>写真で未取得の部位（許可済み）：洋室、浴室、洗面室、トイレ、シャワールーム、バルコニー。洋室・浴室・洗面・バルコニーはSUUMO掲載（元付の小田急不動産がポータルに掲載）の要許可写真のみ。</t>
        </is>
      </c>
    </row>
    <row r="107">
      <c r="A107" s="9" t="inlineStr">
        <is>
          <t>03</t>
        </is>
      </c>
      <c r="B107" s="9" t="inlineStr">
        <is>
          <t>シティタワー高輪</t>
        </is>
      </c>
      <c r="C107" s="9" t="inlineStr">
        <is>
          <t>34階</t>
        </is>
      </c>
      <c r="D107" s="9" t="inlineStr">
        <is>
          <t>推測入力</t>
        </is>
      </c>
      <c r="E107" s="9" t="inlineStr">
        <is>
          <t>写真13（住戸前スペース）は「玄関(7)」、写真12（玄関ホール）は「その他内観(38)」、畳コーナーは「和室(22)」とした。</t>
        </is>
      </c>
    </row>
    <row r="108">
      <c r="A108" s="9" t="inlineStr">
        <is>
          <t>03</t>
        </is>
      </c>
      <c r="B108" s="9" t="inlineStr">
        <is>
          <t>シティタワー高輪</t>
        </is>
      </c>
      <c r="C108" s="9" t="inlineStr">
        <is>
          <t>34階</t>
        </is>
      </c>
      <c r="D108" s="9" t="inlineStr">
        <is>
          <t>推測入力</t>
        </is>
      </c>
      <c r="E108" s="9" t="inlineStr">
        <is>
          <t>共用部：グランドロビー・エントランスラウンジは「ロビー(44)」、フォーマルゲート・敷地内通路・ラウンジ・シアター・茶室は「その他共用部分(19)」。</t>
        </is>
      </c>
    </row>
    <row r="109">
      <c r="A109" s="9" t="inlineStr">
        <is>
          <t>03</t>
        </is>
      </c>
      <c r="B109" s="9" t="inlineStr">
        <is>
          <t>シティタワー高輪</t>
        </is>
      </c>
      <c r="C109" s="9" t="inlineStr">
        <is>
          <t>34階</t>
        </is>
      </c>
      <c r="D109" s="9" t="inlineStr">
        <is>
          <t>推測入力</t>
        </is>
      </c>
      <c r="E109" s="9" t="inlineStr">
        <is>
          <t>要許可の洋室4枚がBedroom①〜④のどれかは特定できない。</t>
        </is>
      </c>
    </row>
    <row r="110">
      <c r="A110" s="9" t="inlineStr">
        <is>
          <t>03</t>
        </is>
      </c>
      <c r="B110" s="9" t="inlineStr">
        <is>
          <t>シティタワー高輪</t>
        </is>
      </c>
      <c r="C110" s="9" t="inlineStr">
        <is>
          <t>34階</t>
        </is>
      </c>
      <c r="D110" s="9" t="inlineStr">
        <is>
          <t>推測入力</t>
        </is>
      </c>
      <c r="E110" s="9" t="inlineStr">
        <is>
          <t>リビング写真の「オーク材の床」「石張りの壁」は小田急HP店長コメント（オーク材・天然石）と写真からの表現。</t>
        </is>
      </c>
    </row>
    <row r="111">
      <c r="A111" s="9" t="inlineStr">
        <is>
          <t>03</t>
        </is>
      </c>
      <c r="B111" s="9" t="inlineStr">
        <is>
          <t>シティタワー高輪</t>
        </is>
      </c>
      <c r="C111" s="9" t="inlineStr">
        <is>
          <t>34階</t>
        </is>
      </c>
      <c r="D111" s="9" t="inlineStr">
        <is>
          <t>推測入力</t>
        </is>
      </c>
      <c r="E111" s="9" t="inlineStr">
        <is>
          <t>コメントの表現（暮らしのイメージ部分）は写真と図面からの推測を含む。</t>
        </is>
      </c>
    </row>
    <row r="112">
      <c r="A112" s="9" t="inlineStr">
        <is>
          <t>04</t>
        </is>
      </c>
      <c r="B112" s="9" t="inlineStr">
        <is>
          <t>パークコート赤坂ザタワー</t>
        </is>
      </c>
      <c r="C112" s="9" t="inlineStr">
        <is>
          <t>4307号室</t>
        </is>
      </c>
      <c r="D112" s="9" t="inlineStr">
        <is>
          <t>文言</t>
        </is>
      </c>
      <c r="E112" s="9" t="inlineStr">
        <is>
          <t>図面に「広告掲載 全面不可」の表記あり（依頼者より承諾取得済との指示あり）。出稿前に承諾の範囲（ポータル可否）を最終確認</t>
        </is>
      </c>
    </row>
    <row r="113">
      <c r="A113" s="9" t="inlineStr">
        <is>
          <t>04</t>
        </is>
      </c>
      <c r="B113" s="9" t="inlineStr">
        <is>
          <t>パークコート赤坂ザタワー</t>
        </is>
      </c>
      <c r="C113" s="9" t="inlineStr">
        <is>
          <t>4307号室</t>
        </is>
      </c>
      <c r="D113" s="9" t="inlineStr">
        <is>
          <t>文言</t>
        </is>
      </c>
      <c r="E113" s="9" t="inlineStr">
        <is>
          <t>価格188,000万円の税区分が図面に記載なし（売主は法人。税込か否かを元付に確認）</t>
        </is>
      </c>
    </row>
    <row r="114">
      <c r="A114" s="9" t="inlineStr">
        <is>
          <t>04</t>
        </is>
      </c>
      <c r="B114" s="9" t="inlineStr">
        <is>
          <t>パークコート赤坂ザタワー</t>
        </is>
      </c>
      <c r="C114" s="9" t="inlineStr">
        <is>
          <t>4307号室</t>
        </is>
      </c>
      <c r="D114" s="9" t="inlineStr">
        <is>
          <t>文言</t>
        </is>
      </c>
      <c r="E114" s="9" t="inlineStr">
        <is>
          <t>総戸数：518戸（三井公式・分譲時リリース・港区）／521戸＝住宅518戸・他店舗3戸（図面 A-p09）→ 518戸を入力</t>
        </is>
      </c>
    </row>
    <row r="115">
      <c r="A115" s="9" t="inlineStr">
        <is>
          <t>04</t>
        </is>
      </c>
      <c r="B115" s="9" t="inlineStr">
        <is>
          <t>パークコート赤坂ザタワー</t>
        </is>
      </c>
      <c r="C115" s="9" t="inlineStr">
        <is>
          <t>4307号室</t>
        </is>
      </c>
      <c r="D115" s="9" t="inlineStr">
        <is>
          <t>文言</t>
        </is>
      </c>
      <c r="E115" s="9" t="inlineStr">
        <is>
          <t>構造：鉄筋コンクリート造（図面 A-p09）／鉄筋コンクリート造一部鉄骨造（分譲時リリース・Wikipedia・MR）→ 図面どおり入力</t>
        </is>
      </c>
    </row>
    <row r="116">
      <c r="A116" s="9" t="inlineStr">
        <is>
          <t>04</t>
        </is>
      </c>
      <c r="B116" s="9" t="inlineStr">
        <is>
          <t>パークコート赤坂ザタワー</t>
        </is>
      </c>
      <c r="C116" s="9" t="inlineStr">
        <is>
          <t>4307号室</t>
        </is>
      </c>
      <c r="D116" s="9" t="inlineStr">
        <is>
          <t>文言</t>
        </is>
      </c>
      <c r="E116" s="9" t="inlineStr">
        <is>
          <t>専有面積：218.19㎡（図面・分譲時リリース）／218.09㎡（リンネ新築時価格表）→ 218.19㎡を入力。壁芯・内法の別は図面に記載なし</t>
        </is>
      </c>
    </row>
    <row r="117">
      <c r="A117" s="9" t="inlineStr">
        <is>
          <t>04</t>
        </is>
      </c>
      <c r="B117" s="9" t="inlineStr">
        <is>
          <t>パークコート赤坂ザタワー</t>
        </is>
      </c>
      <c r="C117" s="9" t="inlineStr">
        <is>
          <t>4307号室</t>
        </is>
      </c>
      <c r="D117" s="9" t="inlineStr">
        <is>
          <t>文言</t>
        </is>
      </c>
      <c r="E117" s="9" t="inlineStr">
        <is>
          <t>間取り：3LDK（図面 A-p09）／2LDK（HOME'S不動産アーカイブ 2019年賃貸履歴＝リノベ前）→ 3LDKを入力</t>
        </is>
      </c>
    </row>
    <row r="118">
      <c r="A118" s="9" t="inlineStr">
        <is>
          <t>04</t>
        </is>
      </c>
      <c r="B118" s="9" t="inlineStr">
        <is>
          <t>パークコート赤坂ザタワー</t>
        </is>
      </c>
      <c r="C118" s="9" t="inlineStr">
        <is>
          <t>4307号室</t>
        </is>
      </c>
      <c r="D118" s="9" t="inlineStr">
        <is>
          <t>文言</t>
        </is>
      </c>
      <c r="E118" s="9" t="inlineStr">
        <is>
          <t>交通：赤坂8分・青山一丁目9分・赤坂見附9分（図面・分譲時リリース）／赤坂9分・青山一丁目10分・赤坂見附（丸ノ内線）11分（KEN）→ 図面値を入力</t>
        </is>
      </c>
    </row>
    <row r="119">
      <c r="A119" s="9" t="inlineStr">
        <is>
          <t>04</t>
        </is>
      </c>
      <c r="B119" s="9" t="inlineStr">
        <is>
          <t>パークコート赤坂ザタワー</t>
        </is>
      </c>
      <c r="C119" s="9" t="inlineStr">
        <is>
          <t>4307号室</t>
        </is>
      </c>
      <c r="D119" s="9" t="inlineStr">
        <is>
          <t>文言</t>
        </is>
      </c>
      <c r="E119" s="9" t="inlineStr">
        <is>
          <t>制震／免震：制震構造（分譲時リリース・KEN・プラザ）／免震構造（MR備考）→ 制震構造でコメント作成</t>
        </is>
      </c>
    </row>
    <row r="120">
      <c r="A120" s="9" t="inlineStr">
        <is>
          <t>04</t>
        </is>
      </c>
      <c r="B120" s="9" t="inlineStr">
        <is>
          <t>パークコート赤坂ザタワー</t>
        </is>
      </c>
      <c r="C120" s="9" t="inlineStr">
        <is>
          <t>4307号室</t>
        </is>
      </c>
      <c r="D120" s="9" t="inlineStr">
        <is>
          <t>文言</t>
        </is>
      </c>
      <c r="E120" s="9" t="inlineStr">
        <is>
          <t>セキュリティ：4重（分譲時リリース）／5重（プラザ）→ 4重でコメント作成</t>
        </is>
      </c>
    </row>
    <row r="121">
      <c r="A121" s="9" t="inlineStr">
        <is>
          <t>04</t>
        </is>
      </c>
      <c r="B121" s="9" t="inlineStr">
        <is>
          <t>パークコート赤坂ザタワー</t>
        </is>
      </c>
      <c r="C121" s="9" t="inlineStr">
        <is>
          <t>4307号室</t>
        </is>
      </c>
      <c r="D121" s="9" t="inlineStr">
        <is>
          <t>文言</t>
        </is>
      </c>
      <c r="E121" s="9" t="inlineStr">
        <is>
          <t>駐車場台数：324台（図面）／330台（港区 事業概要）→ 324台</t>
        </is>
      </c>
    </row>
    <row r="122">
      <c r="A122" s="9" t="inlineStr">
        <is>
          <t>04</t>
        </is>
      </c>
      <c r="B122" s="9" t="inlineStr">
        <is>
          <t>パークコート赤坂ザタワー</t>
        </is>
      </c>
      <c r="C122" s="9" t="inlineStr">
        <is>
          <t>4307号室</t>
        </is>
      </c>
      <c r="D122" s="9" t="inlineStr">
        <is>
          <t>文言</t>
        </is>
      </c>
      <c r="E122" s="9" t="inlineStr">
        <is>
          <t>管理員勤務：日勤（図面）／警備員による24時間有人管理（分譲時リリース）→ 併記でコメント作成</t>
        </is>
      </c>
    </row>
    <row r="123">
      <c r="A123" s="9" t="inlineStr">
        <is>
          <t>04</t>
        </is>
      </c>
      <c r="B123" s="9" t="inlineStr">
        <is>
          <t>パークコート赤坂ザタワー</t>
        </is>
      </c>
      <c r="C123" s="9" t="inlineStr">
        <is>
          <t>4307号室</t>
        </is>
      </c>
      <c r="D123" s="9" t="inlineStr">
        <is>
          <t>文言</t>
        </is>
      </c>
      <c r="E123" s="9" t="inlineStr">
        <is>
          <t>赤坂サカスまでの距離：約500m（三井公式）／約280m（ノムコム）・約750m（MR）→ 約500m</t>
        </is>
      </c>
    </row>
    <row r="124">
      <c r="A124" s="9" t="inlineStr">
        <is>
          <t>04</t>
        </is>
      </c>
      <c r="B124" s="9" t="inlineStr">
        <is>
          <t>パークコート赤坂ザタワー</t>
        </is>
      </c>
      <c r="C124" s="9" t="inlineStr">
        <is>
          <t>4307号室</t>
        </is>
      </c>
      <c r="D124" s="9" t="inlineStr">
        <is>
          <t>文言</t>
        </is>
      </c>
      <c r="E124" s="9" t="inlineStr">
        <is>
          <t>高橋是清翁記念公園までの距離：約700m（三井公式）／約350m（MR）→ 約700m</t>
        </is>
      </c>
    </row>
    <row r="125">
      <c r="A125" s="9" t="inlineStr">
        <is>
          <t>04</t>
        </is>
      </c>
      <c r="B125" s="9" t="inlineStr">
        <is>
          <t>パークコート赤坂ザタワー</t>
        </is>
      </c>
      <c r="C125" s="9" t="inlineStr">
        <is>
          <t>4307号室</t>
        </is>
      </c>
      <c r="D125" s="9" t="inlineStr">
        <is>
          <t>文言</t>
        </is>
      </c>
      <c r="E125" s="9" t="inlineStr">
        <is>
          <t>駐車場使用料160,000円は図面値。公式PDF（2021年3月作成）でも80,000円×2区画だが現行額は管理会社で確認推奨</t>
        </is>
      </c>
    </row>
    <row r="126">
      <c r="A126" s="9" t="inlineStr">
        <is>
          <t>04</t>
        </is>
      </c>
      <c r="B126" s="9" t="inlineStr">
        <is>
          <t>パークコート赤坂ザタワー</t>
        </is>
      </c>
      <c r="C126" s="9" t="inlineStr">
        <is>
          <t>4307号室</t>
        </is>
      </c>
      <c r="D126" s="9" t="inlineStr">
        <is>
          <t>文言</t>
        </is>
      </c>
      <c r="E126" s="9" t="inlineStr">
        <is>
          <t>現況・引渡時期・家具の扱いが図面に記載なし（元付に確認）</t>
        </is>
      </c>
    </row>
    <row r="127">
      <c r="A127" s="9" t="inlineStr">
        <is>
          <t>04</t>
        </is>
      </c>
      <c r="B127" s="9" t="inlineStr">
        <is>
          <t>パークコート赤坂ザタワー</t>
        </is>
      </c>
      <c r="C127" s="9" t="inlineStr">
        <is>
          <t>4307号室</t>
        </is>
      </c>
      <c r="D127" s="9" t="inlineStr">
        <is>
          <t>文言</t>
        </is>
      </c>
      <c r="E127" s="9" t="inlineStr">
        <is>
          <t>内見は売主立会い・事前アンケート提出が条件（図面）。客付条件として備考に記載済</t>
        </is>
      </c>
    </row>
    <row r="128">
      <c r="A128" s="9" t="inlineStr">
        <is>
          <t>04</t>
        </is>
      </c>
      <c r="B128" s="9" t="inlineStr">
        <is>
          <t>パークコート赤坂ザタワー</t>
        </is>
      </c>
      <c r="C128" s="9" t="inlineStr">
        <is>
          <t>4307号室</t>
        </is>
      </c>
      <c r="D128" s="9" t="inlineStr">
        <is>
          <t>文言</t>
        </is>
      </c>
      <c r="E128" s="9" t="inlineStr">
        <is>
          <t>元付の免許番号・会社代表TELは図面に記載なし（図面の連絡先は担当者携帯）</t>
        </is>
      </c>
    </row>
    <row r="129">
      <c r="A129" s="9" t="inlineStr">
        <is>
          <t>04</t>
        </is>
      </c>
      <c r="B129" s="9" t="inlineStr">
        <is>
          <t>パークコート赤坂ザタワー</t>
        </is>
      </c>
      <c r="C129" s="9" t="inlineStr">
        <is>
          <t>4307号室</t>
        </is>
      </c>
      <c r="D129" s="9" t="inlineStr">
        <is>
          <t>文言</t>
        </is>
      </c>
      <c r="E129" s="9" t="inlineStr">
        <is>
          <t>ペット可否は図面に記載なし（ポータルでは規約制限あり・相談）。設備チェックの「ペット可」は付けていない</t>
        </is>
      </c>
    </row>
    <row r="130">
      <c r="A130" s="9" t="inlineStr">
        <is>
          <t>04</t>
        </is>
      </c>
      <c r="B130" s="9" t="inlineStr">
        <is>
          <t>パークコート赤坂ザタワー</t>
        </is>
      </c>
      <c r="C130" s="9" t="inlineStr">
        <is>
          <t>4307号室</t>
        </is>
      </c>
      <c r="D130" s="9" t="inlineStr">
        <is>
          <t>文言</t>
        </is>
      </c>
      <c r="E130" s="9" t="inlineStr">
        <is>
          <t>許可済み画像は図面由来の眺望・間取図の2枚のみ。外観・共用部は分譲会社公式（31mansion.com）・他社掲載由来のため要許可。三井公式「駐車場・駐輪場・トランクルーム」画像は「image photo」表記のイメージ写真</t>
        </is>
      </c>
    </row>
    <row r="131">
      <c r="A131" s="9" t="inlineStr">
        <is>
          <t>04</t>
        </is>
      </c>
      <c r="B131" s="9" t="inlineStr">
        <is>
          <t>パークコート赤坂ザタワー</t>
        </is>
      </c>
      <c r="C131" s="9" t="inlineStr">
        <is>
          <t>4307号室</t>
        </is>
      </c>
      <c r="D131" s="9" t="inlineStr">
        <is>
          <t>文言</t>
        </is>
      </c>
      <c r="E131" s="9" t="inlineStr">
        <is>
          <t>床暖房・ディスポーザー・浴室乾燥機はリノベ後の有無が未確認のため入力していない</t>
        </is>
      </c>
    </row>
    <row r="132">
      <c r="A132" s="9" t="inlineStr">
        <is>
          <t>04</t>
        </is>
      </c>
      <c r="B132" s="9" t="inlineStr">
        <is>
          <t>パークコート赤坂ザタワー</t>
        </is>
      </c>
      <c r="C132" s="9" t="inlineStr">
        <is>
          <t>4307号室</t>
        </is>
      </c>
      <c r="D132" s="9" t="inlineStr">
        <is>
          <t>推測入力</t>
        </is>
      </c>
      <c r="E132" s="9" t="inlineStr">
        <is>
          <t>設備チェック「エレベーター」：地上43階建のため（図面）</t>
        </is>
      </c>
    </row>
    <row r="133">
      <c r="A133" s="9" t="inlineStr">
        <is>
          <t>04</t>
        </is>
      </c>
      <c r="B133" s="9" t="inlineStr">
        <is>
          <t>パークコート赤坂ザタワー</t>
        </is>
      </c>
      <c r="C133" s="9" t="inlineStr">
        <is>
          <t>4307号室</t>
        </is>
      </c>
      <c r="D133" s="9" t="inlineStr">
        <is>
          <t>推測入力</t>
        </is>
      </c>
      <c r="E133" s="9" t="inlineStr">
        <is>
          <t>設備チェック「オートロック」：分譲時リリースのIC認証・4重セキュリティ、リバブルのダブルオートロック記載から</t>
        </is>
      </c>
    </row>
    <row r="134">
      <c r="A134" s="9" t="inlineStr">
        <is>
          <t>04</t>
        </is>
      </c>
      <c r="B134" s="9" t="inlineStr">
        <is>
          <t>パークコート赤坂ザタワー</t>
        </is>
      </c>
      <c r="C134" s="9" t="inlineStr">
        <is>
          <t>4307号室</t>
        </is>
      </c>
      <c r="D134" s="9" t="inlineStr">
        <is>
          <t>推測入力</t>
        </is>
      </c>
      <c r="E134" s="9" t="inlineStr">
        <is>
          <t>設備チェック「宅配ボックス」：KEN・リハウス（ポータル）の記載から</t>
        </is>
      </c>
    </row>
    <row r="135">
      <c r="A135" s="9" t="inlineStr">
        <is>
          <t>04</t>
        </is>
      </c>
      <c r="B135" s="9" t="inlineStr">
        <is>
          <t>パークコート赤坂ザタワー</t>
        </is>
      </c>
      <c r="C135" s="9" t="inlineStr">
        <is>
          <t>4307号室</t>
        </is>
      </c>
      <c r="D135" s="9" t="inlineStr">
        <is>
          <t>推測入力</t>
        </is>
      </c>
      <c r="E135" s="9" t="inlineStr">
        <is>
          <t>向き「北」：図面の方位記号と窓・バルコニー位置から判断（物件情報.md④）。HOME'Sアーカイブの賃貸履歴も北</t>
        </is>
      </c>
    </row>
    <row r="136">
      <c r="A136" s="9" t="inlineStr">
        <is>
          <t>04</t>
        </is>
      </c>
      <c r="B136" s="9" t="inlineStr">
        <is>
          <t>パークコート赤坂ザタワー</t>
        </is>
      </c>
      <c r="C136" s="9" t="inlineStr">
        <is>
          <t>4307号室</t>
        </is>
      </c>
      <c r="D136" s="9" t="inlineStr">
        <is>
          <t>推測入力</t>
        </is>
      </c>
      <c r="E136" s="9" t="inlineStr">
        <is>
          <t>画像 01_眺望.jpg のカテゴリ：写真の内容（赤坂御用地の緑と新宿方面の街並み）から「現地からの眺望」とした</t>
        </is>
      </c>
    </row>
    <row r="137">
      <c r="A137" s="9" t="inlineStr">
        <is>
          <t>04</t>
        </is>
      </c>
      <c r="B137" s="9" t="inlineStr">
        <is>
          <t>パークコート赤坂ザタワー</t>
        </is>
      </c>
      <c r="C137" s="9" t="inlineStr">
        <is>
          <t>4307号室</t>
        </is>
      </c>
      <c r="D137" s="9" t="inlineStr">
        <is>
          <t>推測入力</t>
        </is>
      </c>
      <c r="E137" s="9" t="inlineStr">
        <is>
          <t>コメント中の「二つの街が交差する高台」等の表現は三井公式 住環境ページの記載をもとにした言い換え</t>
        </is>
      </c>
    </row>
    <row r="138">
      <c r="A138" s="9" t="inlineStr">
        <is>
          <t>05</t>
        </is>
      </c>
      <c r="B138" s="9" t="inlineStr">
        <is>
          <t>レフィール南麻布</t>
        </is>
      </c>
      <c r="C138" s="9" t="inlineStr">
        <is>
          <t>3-4階</t>
        </is>
      </c>
      <c r="D138" s="9" t="inlineStr">
        <is>
          <t>文言</t>
        </is>
      </c>
      <c r="E138" s="9" t="inlineStr">
        <is>
          <t>許可済み画像が0枚：元付（アンビションDX）の自社HPに物件ページなし、図面 A-p10に物件写真なし。掲載写真はすべて要許可（分譲会社公式・KEN・リハウス・REALIA）。出稿前に元付経由で使用許可の取得が必要</t>
        </is>
      </c>
    </row>
    <row r="139">
      <c r="A139" s="9" t="inlineStr">
        <is>
          <t>05</t>
        </is>
      </c>
      <c r="B139" s="9" t="inlineStr">
        <is>
          <t>レフィール南麻布</t>
        </is>
      </c>
      <c r="C139" s="9" t="inlineStr">
        <is>
          <t>3-4階</t>
        </is>
      </c>
      <c r="D139" s="9" t="inlineStr">
        <is>
          <t>文言</t>
        </is>
      </c>
      <c r="E139" s="9" t="inlineStr">
        <is>
          <t>向き：主要採光 南・ルーフバルコニー 北（図面 A-p10）／北（リハウス・REALIA）→ 南を入力。設備チェックの「南向き」は確認後に選択</t>
        </is>
      </c>
    </row>
    <row r="140">
      <c r="A140" s="9" t="inlineStr">
        <is>
          <t>05</t>
        </is>
      </c>
      <c r="B140" s="9" t="inlineStr">
        <is>
          <t>レフィール南麻布</t>
        </is>
      </c>
      <c r="C140" s="9" t="inlineStr">
        <is>
          <t>3-4階</t>
        </is>
      </c>
      <c r="D140" s="9" t="inlineStr">
        <is>
          <t>文言</t>
        </is>
      </c>
      <c r="E140" s="9" t="inlineStr">
        <is>
          <t>その他費用の内訳：ルーフバルコニー10,000円・トランクルーム5,300円（図面 A-p10）／トランクルーム10,000円・ルーフバルコニー5,300円（リハウス・REALIA）。合計17,855円は一致 → 図面どおり入力</t>
        </is>
      </c>
    </row>
    <row r="141">
      <c r="A141" s="9" t="inlineStr">
        <is>
          <t>05</t>
        </is>
      </c>
      <c r="B141" s="9" t="inlineStr">
        <is>
          <t>レフィール南麻布</t>
        </is>
      </c>
      <c r="C141" s="9" t="inlineStr">
        <is>
          <t>3-4階</t>
        </is>
      </c>
      <c r="D141" s="9" t="inlineStr">
        <is>
          <t>文言</t>
        </is>
      </c>
      <c r="E141" s="9" t="inlineStr">
        <is>
          <t>間取り表記：3SLDK＋2WIC＋UT＋SIC（図面 A-p10）／3LDK＋S＋2WIC＋SIC（REALIA現行図）・3LDK＋2WIC＋WIP＋SIC＋U（マンションマーケット過去売出）→ 図面表記を入力</t>
        </is>
      </c>
    </row>
    <row r="142">
      <c r="A142" s="9" t="inlineStr">
        <is>
          <t>05</t>
        </is>
      </c>
      <c r="B142" s="9" t="inlineStr">
        <is>
          <t>レフィール南麻布</t>
        </is>
      </c>
      <c r="C142" s="9" t="inlineStr">
        <is>
          <t>3-4階</t>
        </is>
      </c>
      <c r="D142" s="9" t="inlineStr">
        <is>
          <t>文言</t>
        </is>
      </c>
      <c r="E142" s="9" t="inlineStr">
        <is>
          <t>総戸数：18戸（図面・KEN・e-mansion）／19戸（MR・DH・ノムコム・住まい1＝店舗含む）→ 18戸</t>
        </is>
      </c>
    </row>
    <row r="143">
      <c r="A143" s="9" t="inlineStr">
        <is>
          <t>05</t>
        </is>
      </c>
      <c r="B143" s="9" t="inlineStr">
        <is>
          <t>レフィール南麻布</t>
        </is>
      </c>
      <c r="C143" s="9" t="inlineStr">
        <is>
          <t>3-4階</t>
        </is>
      </c>
      <c r="D143" s="9" t="inlineStr">
        <is>
          <t>文言</t>
        </is>
      </c>
      <c r="E143" s="9" t="inlineStr">
        <is>
          <t>築年月：2020年2月（図面・SUUMO・MR）／2020年1月（KEN・ノムコム・クレア）→ 2020年2月</t>
        </is>
      </c>
    </row>
    <row r="144">
      <c r="A144" s="9" t="inlineStr">
        <is>
          <t>05</t>
        </is>
      </c>
      <c r="B144" s="9" t="inlineStr">
        <is>
          <t>レフィール南麻布</t>
        </is>
      </c>
      <c r="C144" s="9" t="inlineStr">
        <is>
          <t>3-4階</t>
        </is>
      </c>
      <c r="D144" s="9" t="inlineStr">
        <is>
          <t>文言</t>
        </is>
      </c>
      <c r="E144" s="9" t="inlineStr">
        <is>
          <t>管理形態：全部委託・日勤（住まい1・MR・SUUMO）／24時間管理・コンシェルジュ24時間（Plaza・ブログ）→ 日勤＋コンシェルジュあり。24時間有人とは書いていない</t>
        </is>
      </c>
    </row>
    <row r="145">
      <c r="A145" s="9" t="inlineStr">
        <is>
          <t>05</t>
        </is>
      </c>
      <c r="B145" s="9" t="inlineStr">
        <is>
          <t>レフィール南麻布</t>
        </is>
      </c>
      <c r="C145" s="9" t="inlineStr">
        <is>
          <t>3-4階</t>
        </is>
      </c>
      <c r="D145" s="9" t="inlineStr">
        <is>
          <t>文言</t>
        </is>
      </c>
      <c r="E145" s="9" t="inlineStr">
        <is>
          <t>小学校区：本村小学校（港区公式）／白金の丘小学校（クレア）→ 本村小学校。中学校区は未確認</t>
        </is>
      </c>
    </row>
    <row r="146">
      <c r="A146" s="9" t="inlineStr">
        <is>
          <t>05</t>
        </is>
      </c>
      <c r="B146" s="9" t="inlineStr">
        <is>
          <t>レフィール南麻布</t>
        </is>
      </c>
      <c r="C146" s="9" t="inlineStr">
        <is>
          <t>3-4階</t>
        </is>
      </c>
      <c r="D146" s="9" t="inlineStr">
        <is>
          <t>文言</t>
        </is>
      </c>
      <c r="E146" s="9" t="inlineStr">
        <is>
          <t>駐車場料金55,000〜65,000円の税込／税抜が不明（クレアは税抜表記）。空き1台はリハウス2026年8月20日時点</t>
        </is>
      </c>
    </row>
    <row r="147">
      <c r="A147" s="9" t="inlineStr">
        <is>
          <t>05</t>
        </is>
      </c>
      <c r="B147" s="9" t="inlineStr">
        <is>
          <t>レフィール南麻布</t>
        </is>
      </c>
      <c r="C147" s="9" t="inlineStr">
        <is>
          <t>3-4階</t>
        </is>
      </c>
      <c r="D147" s="9" t="inlineStr">
        <is>
          <t>文言</t>
        </is>
      </c>
      <c r="E147" s="9" t="inlineStr">
        <is>
          <t>図面の「駐車可能な可能性が高い車種」一覧はChatGPT抜粋との注記あり。広告に車種名は載せていない</t>
        </is>
      </c>
    </row>
    <row r="148">
      <c r="A148" s="9" t="inlineStr">
        <is>
          <t>05</t>
        </is>
      </c>
      <c r="B148" s="9" t="inlineStr">
        <is>
          <t>レフィール南麻布</t>
        </is>
      </c>
      <c r="C148" s="9" t="inlineStr">
        <is>
          <t>3-4階</t>
        </is>
      </c>
      <c r="D148" s="9" t="inlineStr">
        <is>
          <t>文言</t>
        </is>
      </c>
      <c r="E148" s="9" t="inlineStr">
        <is>
          <t>図面の手数料欄（6％＝仲介手数料3％＋業務委託料3％）は掲載文に記載していない</t>
        </is>
      </c>
    </row>
    <row r="149">
      <c r="A149" s="9" t="inlineStr">
        <is>
          <t>05</t>
        </is>
      </c>
      <c r="B149" s="9" t="inlineStr">
        <is>
          <t>レフィール南麻布</t>
        </is>
      </c>
      <c r="C149" s="9" t="inlineStr">
        <is>
          <t>3-4階</t>
        </is>
      </c>
      <c r="D149" s="9" t="inlineStr">
        <is>
          <t>文言</t>
        </is>
      </c>
      <c r="E149" s="9" t="inlineStr">
        <is>
          <t>家具は7/14設置済だが価格に含まれない（REALIA写真注記）。写真の家具を含む表現にしていない</t>
        </is>
      </c>
    </row>
    <row r="150">
      <c r="A150" s="9" t="inlineStr">
        <is>
          <t>05</t>
        </is>
      </c>
      <c r="B150" s="9" t="inlineStr">
        <is>
          <t>レフィール南麻布</t>
        </is>
      </c>
      <c r="C150" s="9" t="inlineStr">
        <is>
          <t>3-4階</t>
        </is>
      </c>
      <c r="D150" s="9" t="inlineStr">
        <is>
          <t>文言</t>
        </is>
      </c>
      <c r="E150" s="9" t="inlineStr">
        <is>
          <t>所在階：3・4階メゾネット。所在階欄は3階で入力（REALIAは4階表記）。21Cloud上の表示方法を確認</t>
        </is>
      </c>
    </row>
    <row r="151">
      <c r="A151" s="9" t="inlineStr">
        <is>
          <t>05</t>
        </is>
      </c>
      <c r="B151" s="9" t="inlineStr">
        <is>
          <t>レフィール南麻布</t>
        </is>
      </c>
      <c r="C151" s="9" t="inlineStr">
        <is>
          <t>3-4階</t>
        </is>
      </c>
      <c r="D151" s="9" t="inlineStr">
        <is>
          <t>文言</t>
        </is>
      </c>
      <c r="E151" s="9" t="inlineStr">
        <is>
          <t>専有面積の壁芯・内法の別は図面に記載なし</t>
        </is>
      </c>
    </row>
    <row r="152">
      <c r="A152" s="9" t="inlineStr">
        <is>
          <t>05</t>
        </is>
      </c>
      <c r="B152" s="9" t="inlineStr">
        <is>
          <t>レフィール南麻布</t>
        </is>
      </c>
      <c r="C152" s="9" t="inlineStr">
        <is>
          <t>3-4階</t>
        </is>
      </c>
      <c r="D152" s="9" t="inlineStr">
        <is>
          <t>文言</t>
        </is>
      </c>
      <c r="E152" s="9" t="inlineStr">
        <is>
          <t>`3-4階/_参考_リフォーム前/` の間取図3枚はリフォーム前の間取りのため images・pending のどちらにも入れていない</t>
        </is>
      </c>
    </row>
    <row r="153">
      <c r="A153" s="9" t="inlineStr">
        <is>
          <t>05</t>
        </is>
      </c>
      <c r="B153" s="9" t="inlineStr">
        <is>
          <t>レフィール南麻布</t>
        </is>
      </c>
      <c r="C153" s="9" t="inlineStr">
        <is>
          <t>3-4階</t>
        </is>
      </c>
      <c r="D153" s="9" t="inlineStr">
        <is>
          <t>文言</t>
        </is>
      </c>
      <c r="E153" s="9" t="inlineStr">
        <is>
          <t>38_玄関前ホール.jpg は住戸前のオーナーズホールと思われるが、専有部か共用部かは未確認</t>
        </is>
      </c>
    </row>
    <row r="154">
      <c r="A154" s="9" t="inlineStr">
        <is>
          <t>05</t>
        </is>
      </c>
      <c r="B154" s="9" t="inlineStr">
        <is>
          <t>レフィール南麻布</t>
        </is>
      </c>
      <c r="C154" s="9" t="inlineStr">
        <is>
          <t>3-4階</t>
        </is>
      </c>
      <c r="D154" s="9" t="inlineStr">
        <is>
          <t>推測入力</t>
        </is>
      </c>
      <c r="E154" s="9" t="inlineStr">
        <is>
          <t>設備チェック「エレベーター」「宅配ボックス」「24時間ゴミ出し可」「吹抜」「トイレ2か所以上・バス2か所」：物件情報.md①⑦のポータル記載・写真から</t>
        </is>
      </c>
    </row>
    <row r="155">
      <c r="A155" s="9" t="inlineStr">
        <is>
          <t>05</t>
        </is>
      </c>
      <c r="B155" s="9" t="inlineStr">
        <is>
          <t>レフィール南麻布</t>
        </is>
      </c>
      <c r="C155" s="9" t="inlineStr">
        <is>
          <t>3-4階</t>
        </is>
      </c>
      <c r="D155" s="9" t="inlineStr">
        <is>
          <t>推測入力</t>
        </is>
      </c>
      <c r="E155" s="9" t="inlineStr">
        <is>
          <t>所在階を「3」で入力：メゾネットの下階（図面「3・4階部分」）</t>
        </is>
      </c>
    </row>
    <row r="156">
      <c r="A156" s="9" t="inlineStr">
        <is>
          <t>05</t>
        </is>
      </c>
      <c r="B156" s="9" t="inlineStr">
        <is>
          <t>レフィール南麻布</t>
        </is>
      </c>
      <c r="C156" s="9" t="inlineStr">
        <is>
          <t>3-4階</t>
        </is>
      </c>
      <c r="D156" s="9" t="inlineStr">
        <is>
          <t>推測入力</t>
        </is>
      </c>
      <c r="E156" s="9" t="inlineStr">
        <is>
          <t>角部屋「中住戸」：新築時記事（物件情報.md④）から</t>
        </is>
      </c>
    </row>
    <row r="157">
      <c r="A157" s="9" t="inlineStr">
        <is>
          <t>05</t>
        </is>
      </c>
      <c r="B157" s="9" t="inlineStr">
        <is>
          <t>レフィール南麻布</t>
        </is>
      </c>
      <c r="C157" s="9" t="inlineStr">
        <is>
          <t>3-4階</t>
        </is>
      </c>
      <c r="D157" s="9" t="inlineStr">
        <is>
          <t>推測入力</t>
        </is>
      </c>
      <c r="E157" s="9" t="inlineStr">
        <is>
          <t>画像カテゴリ：リビング・ダイニング写真はリビング（4）、主寝室内WICは収納（12）、玄関前ホールはその他内観（38）、オートロック操作盤・宅配ボックス・ペット足洗い場はその他共用部分（19）とした</t>
        </is>
      </c>
    </row>
    <row r="158">
      <c r="A158" s="9" t="inlineStr">
        <is>
          <t>05</t>
        </is>
      </c>
      <c r="B158" s="9" t="inlineStr">
        <is>
          <t>レフィール南麻布</t>
        </is>
      </c>
      <c r="C158" s="9" t="inlineStr">
        <is>
          <t>3-4階</t>
        </is>
      </c>
      <c r="D158" s="9" t="inlineStr">
        <is>
          <t>推測入力</t>
        </is>
      </c>
      <c r="E158" s="9" t="inlineStr">
        <is>
          <t>コメント中の「静かな住宅街」「大使館が点在する高台」の表現は物件情報.md①（新築時記事・国土地理院標高）をもとにした言い換え</t>
        </is>
      </c>
    </row>
    <row r="159">
      <c r="A159" s="9" t="inlineStr">
        <is>
          <t>06</t>
        </is>
      </c>
      <c r="B159" s="9" t="inlineStr">
        <is>
          <t>アークヒルズ仙石山レジデンス</t>
        </is>
      </c>
      <c r="C159" s="9" t="inlineStr">
        <is>
          <t>18階</t>
        </is>
      </c>
      <c r="D159" s="9" t="inlineStr">
        <is>
          <t>文言</t>
        </is>
      </c>
      <c r="E159" s="9" t="inlineStr">
        <is>
          <t>所在地：六本木1-9-18（A-p11 HJ・森ビル公式 MORI LIVING）／六本木1丁目9-10（A-p12 三井＝複合棟全体の所在）→ 9-18を入力</t>
        </is>
      </c>
    </row>
    <row r="160">
      <c r="A160" s="9" t="inlineStr">
        <is>
          <t>06</t>
        </is>
      </c>
      <c r="B160" s="9" t="inlineStr">
        <is>
          <t>アークヒルズ仙石山レジデンス</t>
        </is>
      </c>
      <c r="C160" s="9" t="inlineStr">
        <is>
          <t>18階</t>
        </is>
      </c>
      <c r="D160" s="9" t="inlineStr">
        <is>
          <t>文言</t>
        </is>
      </c>
      <c r="E160" s="9" t="inlineStr">
        <is>
          <t>敷地面積：15,367.5㎡・約719.20坪（A-p11）／15,367.75㎡・約4,648.74坪（A-p12・森ビル公式）→ 15,367.75㎡を入力（A-p11の坪数は誤記）</t>
        </is>
      </c>
    </row>
    <row r="161">
      <c r="A161" s="9" t="inlineStr">
        <is>
          <t>06</t>
        </is>
      </c>
      <c r="B161" s="9" t="inlineStr">
        <is>
          <t>アークヒルズ仙石山レジデンス</t>
        </is>
      </c>
      <c r="C161" s="9" t="inlineStr">
        <is>
          <t>18階</t>
        </is>
      </c>
      <c r="D161" s="9" t="inlineStr">
        <is>
          <t>文言</t>
        </is>
      </c>
      <c r="E161" s="9" t="inlineStr">
        <is>
          <t>構造種別：SRC造（図面2社）／鉄筋コンクリート造一部鉄骨造（森ビル公式）→ 公式値を入力</t>
        </is>
      </c>
    </row>
    <row r="162">
      <c r="A162" s="9" t="inlineStr">
        <is>
          <t>06</t>
        </is>
      </c>
      <c r="B162" s="9" t="inlineStr">
        <is>
          <t>アークヒルズ仙石山レジデンス</t>
        </is>
      </c>
      <c r="C162" s="9" t="inlineStr">
        <is>
          <t>18階</t>
        </is>
      </c>
      <c r="D162" s="9" t="inlineStr">
        <is>
          <t>文言</t>
        </is>
      </c>
      <c r="E162" s="9" t="inlineStr">
        <is>
          <t>耐震・制震：「耐震構造」採用（A-p12）／制震（ブレーキダンパー・粘性体制震壁＝森ビル公式）→ 制震構造でコメント作成</t>
        </is>
      </c>
    </row>
    <row r="163">
      <c r="A163" s="9" t="inlineStr">
        <is>
          <t>06</t>
        </is>
      </c>
      <c r="B163" s="9" t="inlineStr">
        <is>
          <t>アークヒルズ仙石山レジデンス</t>
        </is>
      </c>
      <c r="C163" s="9" t="inlineStr">
        <is>
          <t>18階</t>
        </is>
      </c>
      <c r="D163" s="9" t="inlineStr">
        <is>
          <t>文言</t>
        </is>
      </c>
      <c r="E163" s="9" t="inlineStr">
        <is>
          <t>駐車場料金：44,000〜49,500円（A-p11）／中型ハイルーフ55,000円・中型ノーマル50,000円（A-p12、令和8年8月24日現在）／HJサイト44,000〜100,000円 → A-p12を入力。管理会社（森ビル）で現行料金を確認</t>
        </is>
      </c>
    </row>
    <row r="164">
      <c r="A164" s="9" t="inlineStr">
        <is>
          <t>06</t>
        </is>
      </c>
      <c r="B164" s="9" t="inlineStr">
        <is>
          <t>アークヒルズ仙石山レジデンス</t>
        </is>
      </c>
      <c r="C164" s="9" t="inlineStr">
        <is>
          <t>18階</t>
        </is>
      </c>
      <c r="D164" s="9" t="inlineStr">
        <is>
          <t>文言</t>
        </is>
      </c>
      <c r="E164" s="9" t="inlineStr">
        <is>
          <t>溜池山王駅：徒歩10分（A-p11）／徒歩15分（HJサイト）→ 図面値10分を入力</t>
        </is>
      </c>
    </row>
    <row r="165">
      <c r="A165" s="9" t="inlineStr">
        <is>
          <t>06</t>
        </is>
      </c>
      <c r="B165" s="9" t="inlineStr">
        <is>
          <t>アークヒルズ仙石山レジデンス</t>
        </is>
      </c>
      <c r="C165" s="9" t="inlineStr">
        <is>
          <t>18階</t>
        </is>
      </c>
      <c r="D165" s="9" t="inlineStr">
        <is>
          <t>文言</t>
        </is>
      </c>
      <c r="E165" s="9" t="inlineStr">
        <is>
          <t>交通分数：六本木一丁目4分・神谷町6分（図面）／六本木一丁目3番出口6分・神谷町5番出口5分（森ビル公式）→ 図面値</t>
        </is>
      </c>
    </row>
    <row r="166">
      <c r="A166" s="9" t="inlineStr">
        <is>
          <t>06</t>
        </is>
      </c>
      <c r="B166" s="9" t="inlineStr">
        <is>
          <t>アークヒルズ仙石山レジデンス</t>
        </is>
      </c>
      <c r="C166" s="9" t="inlineStr">
        <is>
          <t>18階</t>
        </is>
      </c>
      <c r="D166" s="9" t="inlineStr">
        <is>
          <t>文言</t>
        </is>
      </c>
      <c r="E166" s="9" t="inlineStr">
        <is>
          <t>管理費：134,830円（図面2社）／125,780円（HJサイト、項目入替表示）→ 134,830円</t>
        </is>
      </c>
    </row>
    <row r="167">
      <c r="A167" s="9" t="inlineStr">
        <is>
          <t>06</t>
        </is>
      </c>
      <c r="B167" s="9" t="inlineStr">
        <is>
          <t>アークヒルズ仙石山レジデンス</t>
        </is>
      </c>
      <c r="C167" s="9" t="inlineStr">
        <is>
          <t>18階</t>
        </is>
      </c>
      <c r="D167" s="9" t="inlineStr">
        <is>
          <t>文言</t>
        </is>
      </c>
      <c r="E167" s="9" t="inlineStr">
        <is>
          <t>階数：地上47階・地下4階（森ビル公式・図面）／地上48階（都環境局2017年）→ 47階</t>
        </is>
      </c>
    </row>
    <row r="168">
      <c r="A168" s="9" t="inlineStr">
        <is>
          <t>06</t>
        </is>
      </c>
      <c r="B168" s="9" t="inlineStr">
        <is>
          <t>アークヒルズ仙石山レジデンス</t>
        </is>
      </c>
      <c r="C168" s="9" t="inlineStr">
        <is>
          <t>18階</t>
        </is>
      </c>
      <c r="D168" s="9" t="inlineStr">
        <is>
          <t>文言</t>
        </is>
      </c>
      <c r="E168" s="9" t="inlineStr">
        <is>
          <t>総戸数：243戸（森ビル公式・図面）／276戸（三井のリハウス ライブラリー・MR）→ 243戸</t>
        </is>
      </c>
    </row>
    <row r="169">
      <c r="A169" s="9" t="inlineStr">
        <is>
          <t>06</t>
        </is>
      </c>
      <c r="B169" s="9" t="inlineStr">
        <is>
          <t>アークヒルズ仙石山レジデンス</t>
        </is>
      </c>
      <c r="C169" s="9" t="inlineStr">
        <is>
          <t>18階</t>
        </is>
      </c>
      <c r="D169" s="9" t="inlineStr">
        <is>
          <t>文言</t>
        </is>
      </c>
      <c r="E169" s="9" t="inlineStr">
        <is>
          <t>コンロ種別：「●ＩＨ」（A-p11テキスト）／ガスコンロ（HJ掲載キッチン写真・CreaVision設備欄）→ 設備チェック・コメントともコンロ種別は入れていない。元付に確認</t>
        </is>
      </c>
    </row>
    <row r="170">
      <c r="A170" s="9" t="inlineStr">
        <is>
          <t>06</t>
        </is>
      </c>
      <c r="B170" s="9" t="inlineStr">
        <is>
          <t>アークヒルズ仙石山レジデンス</t>
        </is>
      </c>
      <c r="C170" s="9" t="inlineStr">
        <is>
          <t>18階</t>
        </is>
      </c>
      <c r="D170" s="9" t="inlineStr">
        <is>
          <t>文言</t>
        </is>
      </c>
      <c r="E170" s="9" t="inlineStr">
        <is>
          <t>ポーター／ドアマン：ポーターサービス（A-p11）／ドアマン（森ビル公式）→ コメントでは記載を控えた</t>
        </is>
      </c>
    </row>
    <row r="171">
      <c r="A171" s="9" t="inlineStr">
        <is>
          <t>06</t>
        </is>
      </c>
      <c r="B171" s="9" t="inlineStr">
        <is>
          <t>アークヒルズ仙石山レジデンス</t>
        </is>
      </c>
      <c r="C171" s="9" t="inlineStr">
        <is>
          <t>18階</t>
        </is>
      </c>
      <c r="D171" s="9" t="inlineStr">
        <is>
          <t>文言</t>
        </is>
      </c>
      <c r="E171" s="9" t="inlineStr">
        <is>
          <t>専有面積：210.31㎡（図面2社）／210.30sqm（HJ英文本文）→ 210.31㎡</t>
        </is>
      </c>
    </row>
    <row r="172">
      <c r="A172" s="9" t="inlineStr">
        <is>
          <t>06</t>
        </is>
      </c>
      <c r="B172" s="9" t="inlineStr">
        <is>
          <t>アークヒルズ仙石山レジデンス</t>
        </is>
      </c>
      <c r="C172" s="9" t="inlineStr">
        <is>
          <t>18階</t>
        </is>
      </c>
      <c r="D172" s="9" t="inlineStr">
        <is>
          <t>文言</t>
        </is>
      </c>
      <c r="E172" s="9" t="inlineStr">
        <is>
          <t>A-p11の「手数料0.5％（税込）出し」表記は掲載文に記載していない</t>
        </is>
      </c>
    </row>
    <row r="173">
      <c r="A173" s="9" t="inlineStr">
        <is>
          <t>06</t>
        </is>
      </c>
      <c r="B173" s="9" t="inlineStr">
        <is>
          <t>アークヒルズ仙石山レジデンス</t>
        </is>
      </c>
      <c r="C173" s="9" t="inlineStr">
        <is>
          <t>18階</t>
        </is>
      </c>
      <c r="D173" s="9" t="inlineStr">
        <is>
          <t>文言</t>
        </is>
      </c>
      <c r="E173" s="9" t="inlineStr">
        <is>
          <t>バルコニー使用料・リフォーム履歴・室内設備メーカーは図面に記載なし（未確認）</t>
        </is>
      </c>
    </row>
    <row r="174">
      <c r="A174" s="9" t="inlineStr">
        <is>
          <t>06</t>
        </is>
      </c>
      <c r="B174" s="9" t="inlineStr">
        <is>
          <t>アークヒルズ仙石山レジデンス</t>
        </is>
      </c>
      <c r="C174" s="9" t="inlineStr">
        <is>
          <t>18階</t>
        </is>
      </c>
      <c r="D174" s="9" t="inlineStr">
        <is>
          <t>文言</t>
        </is>
      </c>
      <c r="E174" s="9" t="inlineStr">
        <is>
          <t>トイレの写真なし（HJ・図面とも未掲載）</t>
        </is>
      </c>
    </row>
    <row r="175">
      <c r="A175" s="9" t="inlineStr">
        <is>
          <t>06</t>
        </is>
      </c>
      <c r="B175" s="9" t="inlineStr">
        <is>
          <t>アークヒルズ仙石山レジデンス</t>
        </is>
      </c>
      <c r="C175" s="9" t="inlineStr">
        <is>
          <t>18階</t>
        </is>
      </c>
      <c r="D175" s="9" t="inlineStr">
        <is>
          <t>推測入力</t>
        </is>
      </c>
      <c r="E175" s="9" t="inlineStr">
        <is>
          <t>設備チェック「宅配ボックス」「オートロック」：物件情報.md①（森ビル公式・三井賃貸）の記載から</t>
        </is>
      </c>
    </row>
    <row r="176">
      <c r="A176" s="9" t="inlineStr">
        <is>
          <t>06</t>
        </is>
      </c>
      <c r="B176" s="9" t="inlineStr">
        <is>
          <t>アークヒルズ仙石山レジデンス</t>
        </is>
      </c>
      <c r="C176" s="9" t="inlineStr">
        <is>
          <t>18階</t>
        </is>
      </c>
      <c r="D176" s="9" t="inlineStr">
        <is>
          <t>推測入力</t>
        </is>
      </c>
      <c r="E176" s="9" t="inlineStr">
        <is>
          <t>画像カテゴリ：写真11〜19は間取図の各居室のどれかを特定できないため、主寝室と断定せず「洋室」（21）とした</t>
        </is>
      </c>
    </row>
    <row r="177">
      <c r="A177" s="9" t="inlineStr">
        <is>
          <t>06</t>
        </is>
      </c>
      <c r="B177" s="9" t="inlineStr">
        <is>
          <t>アークヒルズ仙石山レジデンス</t>
        </is>
      </c>
      <c r="C177" s="9" t="inlineStr">
        <is>
          <t>18階</t>
        </is>
      </c>
      <c r="D177" s="9" t="inlineStr">
        <is>
          <t>推測入力</t>
        </is>
      </c>
      <c r="E177" s="9" t="inlineStr">
        <is>
          <t>画像 02_眺望.jpg のコメント「麻布台ヒルズの緑」：写真右下の緑化屋根の低層建物を麻布台ヒルズと判断（隣接地）</t>
        </is>
      </c>
    </row>
    <row r="178">
      <c r="A178" s="9" t="inlineStr">
        <is>
          <t>06</t>
        </is>
      </c>
      <c r="B178" s="9" t="inlineStr">
        <is>
          <t>アークヒルズ仙石山レジデンス</t>
        </is>
      </c>
      <c r="C178" s="9" t="inlineStr">
        <is>
          <t>18階</t>
        </is>
      </c>
      <c r="D178" s="9" t="inlineStr">
        <is>
          <t>推測入力</t>
        </is>
      </c>
      <c r="E178" s="9" t="inlineStr">
        <is>
          <t>画像 共用部/07・08_ラウンジ：施設名の記載がなく、25階ビューラウンジかは断定せず「ラウンジ」と記載</t>
        </is>
      </c>
    </row>
    <row r="179">
      <c r="A179" s="9" t="inlineStr">
        <is>
          <t>06</t>
        </is>
      </c>
      <c r="B179" s="9" t="inlineStr">
        <is>
          <t>アークヒルズ仙石山レジデンス</t>
        </is>
      </c>
      <c r="C179" s="9" t="inlineStr">
        <is>
          <t>18階</t>
        </is>
      </c>
      <c r="D179" s="9" t="inlineStr">
        <is>
          <t>推測入力</t>
        </is>
      </c>
      <c r="E179" s="9" t="inlineStr">
        <is>
          <t>コメント中の「2つのヒルズを生活圏に」等の表現は物件情報.md③（森ビル公式）をもとにした言い換え</t>
        </is>
      </c>
    </row>
    <row r="180">
      <c r="A180" s="9" t="inlineStr">
        <is>
          <t>07</t>
        </is>
      </c>
      <c r="B180" s="9" t="inlineStr">
        <is>
          <t>元麻布ヒルズフォレストタワー</t>
        </is>
      </c>
      <c r="C180" s="9" t="inlineStr">
        <is>
          <t>24階</t>
        </is>
      </c>
      <c r="D180" s="9" t="inlineStr">
        <is>
          <t>文言</t>
        </is>
      </c>
      <c r="E180" s="9" t="inlineStr">
        <is>
          <t>交通 麻布十番駅：7分（図面 A-p13）／8分（MORI LIVING 公式、7番出口）。⑤採用候補の公式値8分を入力済み。図面値7分で出すか要判断</t>
        </is>
      </c>
    </row>
    <row r="181">
      <c r="A181" s="9" t="inlineStr">
        <is>
          <t>07</t>
        </is>
      </c>
      <c r="B181" s="9" t="inlineStr">
        <is>
          <t>元麻布ヒルズフォレストタワー</t>
        </is>
      </c>
      <c r="C181" s="9" t="inlineStr">
        <is>
          <t>24階</t>
        </is>
      </c>
      <c r="D181" s="9" t="inlineStr">
        <is>
          <t>文言</t>
        </is>
      </c>
      <c r="E181" s="9" t="inlineStr">
        <is>
          <t>総戸数：222戸（図面 A-p13＝元麻布ヒルズ3棟合計）／180戸（MORI LIVING＝フォレストタワー棟）。180戸を入力済み</t>
        </is>
      </c>
    </row>
    <row r="182">
      <c r="A182" s="9" t="inlineStr">
        <is>
          <t>07</t>
        </is>
      </c>
      <c r="B182" s="9" t="inlineStr">
        <is>
          <t>元麻布ヒルズフォレストタワー</t>
        </is>
      </c>
      <c r="C182" s="9" t="inlineStr">
        <is>
          <t>24階</t>
        </is>
      </c>
      <c r="D182" s="9" t="inlineStr">
        <is>
          <t>文言</t>
        </is>
      </c>
      <c r="E182" s="9" t="inlineStr">
        <is>
          <t>地下階数：地下4階（図面 A-p13）／地下3階（森ビル公式・MORI LIVING）。地下3階を入力済み</t>
        </is>
      </c>
    </row>
    <row r="183">
      <c r="A183" s="9" t="inlineStr">
        <is>
          <t>07</t>
        </is>
      </c>
      <c r="B183" s="9" t="inlineStr">
        <is>
          <t>元麻布ヒルズフォレストタワー</t>
        </is>
      </c>
      <c r="C183" s="9" t="inlineStr">
        <is>
          <t>24階</t>
        </is>
      </c>
      <c r="D183" s="9" t="inlineStr">
        <is>
          <t>文言</t>
        </is>
      </c>
      <c r="E183" s="9" t="inlineStr">
        <is>
          <t>築年月の和暦：「平成24年（2002年）5月」（図面 A-p13・和暦誤記）／2002年（平成14年）5月（森ビル公式）。西暦2002年5月を入力。和暦を使う欄は平成14年</t>
        </is>
      </c>
    </row>
    <row r="184">
      <c r="A184" s="9" t="inlineStr">
        <is>
          <t>07</t>
        </is>
      </c>
      <c r="B184" s="9" t="inlineStr">
        <is>
          <t>元麻布ヒルズフォレストタワー</t>
        </is>
      </c>
      <c r="C184" s="9" t="inlineStr">
        <is>
          <t>24階</t>
        </is>
      </c>
      <c r="D184" s="9" t="inlineStr">
        <is>
          <t>文言</t>
        </is>
      </c>
      <c r="E184" s="9" t="inlineStr">
        <is>
          <t>敷地面積：12,119.65㎡（図面 A-p13）／12,308.92㎡（MORI LIVING）／12,380.37㎡実測（同敷地のA-p14）。公式値12,308.92㎡を入力済み。登記簿（敷地権の表示）で要確認</t>
        </is>
      </c>
    </row>
    <row r="185">
      <c r="A185" s="9" t="inlineStr">
        <is>
          <t>07</t>
        </is>
      </c>
      <c r="B185" s="9" t="inlineStr">
        <is>
          <t>元麻布ヒルズフォレストタワー</t>
        </is>
      </c>
      <c r="C185" s="9" t="inlineStr">
        <is>
          <t>24階</t>
        </is>
      </c>
      <c r="D185" s="9" t="inlineStr">
        <is>
          <t>文言</t>
        </is>
      </c>
      <c r="E185" s="9" t="inlineStr">
        <is>
          <t>駐輪場：「無（550〜1,100円）」（図面 A-p13・表記矛盾）／駐輪場あり（MORI LIVING）。「有・550〜1,100円/月」で入力。料金・空きを元付に確認</t>
        </is>
      </c>
    </row>
    <row r="186">
      <c r="A186" s="9" t="inlineStr">
        <is>
          <t>07</t>
        </is>
      </c>
      <c r="B186" s="9" t="inlineStr">
        <is>
          <t>元麻布ヒルズフォレストタワー</t>
        </is>
      </c>
      <c r="C186" s="9" t="inlineStr">
        <is>
          <t>24階</t>
        </is>
      </c>
      <c r="D186" s="9" t="inlineStr">
        <is>
          <t>文言</t>
        </is>
      </c>
      <c r="E186" s="9" t="inlineStr">
        <is>
          <t>用途地域：第一種中高層住居専用地域（図面 A-p13・MORI LIVING）／第二種中高層住居専用地域（同敷地のテラスイースト図面 A-p14）。図面値を入力</t>
        </is>
      </c>
    </row>
    <row r="187">
      <c r="A187" s="9" t="inlineStr">
        <is>
          <t>07</t>
        </is>
      </c>
      <c r="B187" s="9" t="inlineStr">
        <is>
          <t>元麻布ヒルズフォレストタワー</t>
        </is>
      </c>
      <c r="C187" s="9" t="inlineStr">
        <is>
          <t>24階</t>
        </is>
      </c>
      <c r="D187" s="9" t="inlineStr">
        <is>
          <t>文言</t>
        </is>
      </c>
      <c r="E187" s="9" t="inlineStr">
        <is>
          <t>階と面積の組み合わせ：HOME'S建物アーカイブでは198.64㎡住戸は23階（北東）のみ記録、24階は193.18㎡・153.41㎡・153.5㎡。図面の「24階・198.64㎡」を元付に確認（物件情報.md⑦補足）</t>
        </is>
      </c>
    </row>
    <row r="188">
      <c r="A188" s="9" t="inlineStr">
        <is>
          <t>07</t>
        </is>
      </c>
      <c r="B188" s="9" t="inlineStr">
        <is>
          <t>元麻布ヒルズフォレストタワー</t>
        </is>
      </c>
      <c r="C188" s="9" t="inlineStr">
        <is>
          <t>24階</t>
        </is>
      </c>
      <c r="D188" s="9" t="inlineStr">
        <is>
          <t>文言</t>
        </is>
      </c>
      <c r="E188" s="9" t="inlineStr">
        <is>
          <t>向き：図面に方位表記なし。向きは空欄。元付に確認</t>
        </is>
      </c>
    </row>
    <row r="189">
      <c r="A189" s="9" t="inlineStr">
        <is>
          <t>07</t>
        </is>
      </c>
      <c r="B189" s="9" t="inlineStr">
        <is>
          <t>元麻布ヒルズフォレストタワー</t>
        </is>
      </c>
      <c r="C189" s="9" t="inlineStr">
        <is>
          <t>24階</t>
        </is>
      </c>
      <c r="D189" s="9" t="inlineStr">
        <is>
          <t>文言</t>
        </is>
      </c>
      <c r="E189" s="9" t="inlineStr">
        <is>
          <t>眺望写真（01_眺望.jpg）：販売図面の背景写真で撮影階の記載なし。当住戸からの眺望でなければ「現地からの眺望」として使えない。画像コメントに撮影階不明と明記済み。元付に撮影場所を確認</t>
        </is>
      </c>
    </row>
    <row r="190">
      <c r="A190" s="9" t="inlineStr">
        <is>
          <t>07</t>
        </is>
      </c>
      <c r="B190" s="9" t="inlineStr">
        <is>
          <t>元麻布ヒルズフォレストタワー</t>
        </is>
      </c>
      <c r="C190" s="9" t="inlineStr">
        <is>
          <t>24階</t>
        </is>
      </c>
      <c r="D190" s="9" t="inlineStr">
        <is>
          <t>文言</t>
        </is>
      </c>
      <c r="E190" s="9" t="inlineStr">
        <is>
          <t>設備：図面「設備：別紙に記載」→別紙未入手。設備チェックは共用部・図面記載分のみ。床暖房・食洗機・ディスポーザー等は未選択</t>
        </is>
      </c>
    </row>
    <row r="191">
      <c r="A191" s="9" t="inlineStr">
        <is>
          <t>07</t>
        </is>
      </c>
      <c r="B191" s="9" t="inlineStr">
        <is>
          <t>元麻布ヒルズフォレストタワー</t>
        </is>
      </c>
      <c r="C191" s="9" t="inlineStr">
        <is>
          <t>24階</t>
        </is>
      </c>
      <c r="D191" s="9" t="inlineStr">
        <is>
          <t>文言</t>
        </is>
      </c>
      <c r="E191" s="9" t="inlineStr">
        <is>
          <t>取引態様 売主・図面上の表記「広告：不可」（依頼者より承諾取得済との指示）。司法書士は売主指定（備考に記載済み）</t>
        </is>
      </c>
    </row>
    <row r="192">
      <c r="A192" s="9" t="inlineStr">
        <is>
          <t>07</t>
        </is>
      </c>
      <c r="B192" s="9" t="inlineStr">
        <is>
          <t>元麻布ヒルズフォレストタワー</t>
        </is>
      </c>
      <c r="C192" s="9" t="inlineStr">
        <is>
          <t>24階</t>
        </is>
      </c>
      <c r="D192" s="9" t="inlineStr">
        <is>
          <t>文言</t>
        </is>
      </c>
      <c r="E192" s="9" t="inlineStr">
        <is>
          <t>画像：許可済みは図面由来の3枚のみ（外観・間取図・眺望）。室内写真なし。他社掲載7枚は転載許可が取れるまで登録しない</t>
        </is>
      </c>
    </row>
    <row r="193">
      <c r="A193" s="9" t="inlineStr">
        <is>
          <t>07</t>
        </is>
      </c>
      <c r="B193" s="9" t="inlineStr">
        <is>
          <t>元麻布ヒルズフォレストタワー</t>
        </is>
      </c>
      <c r="C193" s="9" t="inlineStr">
        <is>
          <t>24階</t>
        </is>
      </c>
      <c r="D193" s="9" t="inlineStr">
        <is>
          <t>推測入力</t>
        </is>
      </c>
      <c r="E193" s="9" t="inlineStr">
        <is>
          <t>設備チェック「宅配ボックス」「内廊下」：ポータル（モダンスタンダード・HOME'S・恵比寿不動産）の記載のみを根拠に選択</t>
        </is>
      </c>
    </row>
    <row r="194">
      <c r="A194" s="9" t="inlineStr">
        <is>
          <t>07</t>
        </is>
      </c>
      <c r="B194" s="9" t="inlineStr">
        <is>
          <t>元麻布ヒルズフォレストタワー</t>
        </is>
      </c>
      <c r="C194" s="9" t="inlineStr">
        <is>
          <t>24階</t>
        </is>
      </c>
      <c r="D194" s="9" t="inlineStr">
        <is>
          <t>推測入力</t>
        </is>
      </c>
      <c r="E194" s="9" t="inlineStr">
        <is>
          <t>設備チェック「ラウンジ・プール・フィットネス」：MORI LIVINGの共用施設（スパは会員制・有料）を根拠に選択</t>
        </is>
      </c>
    </row>
    <row r="195">
      <c r="A195" s="9" t="inlineStr">
        <is>
          <t>07</t>
        </is>
      </c>
      <c r="B195" s="9" t="inlineStr">
        <is>
          <t>元麻布ヒルズフォレストタワー</t>
        </is>
      </c>
      <c r="C195" s="9" t="inlineStr">
        <is>
          <t>24階</t>
        </is>
      </c>
      <c r="D195" s="9" t="inlineStr">
        <is>
          <t>推測入力</t>
        </is>
      </c>
      <c r="E195" s="9" t="inlineStr">
        <is>
          <t>画像カテゴリ：外観2枚目以降・ゲート・スカイラウンジは専用値がないため19（その他共用部分）、フロントは44（ロビー）とした</t>
        </is>
      </c>
    </row>
    <row r="196">
      <c r="A196" s="9" t="inlineStr">
        <is>
          <t>07</t>
        </is>
      </c>
      <c r="B196" s="9" t="inlineStr">
        <is>
          <t>元麻布ヒルズフォレストタワー</t>
        </is>
      </c>
      <c r="C196" s="9" t="inlineStr">
        <is>
          <t>24階</t>
        </is>
      </c>
      <c r="D196" s="9" t="inlineStr">
        <is>
          <t>推測入力</t>
        </is>
      </c>
      <c r="E196" s="9" t="inlineStr">
        <is>
          <t>コメントの表現（「ご家族とゲストの動線を分けられる」「帰宅時に迎えてくれる場所」等の暮らしのイメージ）</t>
        </is>
      </c>
    </row>
    <row r="197">
      <c r="A197" s="9" t="inlineStr">
        <is>
          <t>08</t>
        </is>
      </c>
      <c r="B197" s="9" t="inlineStr">
        <is>
          <t>元麻布ヒルズ フォレストテラスイースト</t>
        </is>
      </c>
      <c r="C197" s="9" t="inlineStr">
        <is>
          <t>3階</t>
        </is>
      </c>
      <c r="D197" s="9" t="inlineStr">
        <is>
          <t>文言</t>
        </is>
      </c>
      <c r="E197" s="9" t="inlineStr">
        <is>
          <t>地上階数：地上5階/地下1階（図面 A-p14・元付HP）／地上6階・地下1階（森ビル公式データシート・R.E.port）。⑤採用候補の6階を入力済み。登記で要確認</t>
        </is>
      </c>
    </row>
    <row r="198">
      <c r="A198" s="9" t="inlineStr">
        <is>
          <t>08</t>
        </is>
      </c>
      <c r="B198" s="9" t="inlineStr">
        <is>
          <t>元麻布ヒルズ フォレストテラスイースト</t>
        </is>
      </c>
      <c r="C198" s="9" t="inlineStr">
        <is>
          <t>3階</t>
        </is>
      </c>
      <c r="D198" s="9" t="inlineStr">
        <is>
          <t>文言</t>
        </is>
      </c>
      <c r="E198" s="9" t="inlineStr">
        <is>
          <t>総戸数：19戸（図面 A-p14・元付HP）／23戸（R.E.port竣工記事・Wikipedia・KEN建物説明文）。⑤採用候補の23戸を入力済み。要確認</t>
        </is>
      </c>
    </row>
    <row r="199">
      <c r="A199" s="9" t="inlineStr">
        <is>
          <t>08</t>
        </is>
      </c>
      <c r="B199" s="9" t="inlineStr">
        <is>
          <t>元麻布ヒルズ フォレストテラスイースト</t>
        </is>
      </c>
      <c r="C199" s="9" t="inlineStr">
        <is>
          <t>3階</t>
        </is>
      </c>
      <c r="D199" s="9" t="inlineStr">
        <is>
          <t>文言</t>
        </is>
      </c>
      <c r="E199" s="9" t="inlineStr">
        <is>
          <t>管理会社：図面 A-p14は空欄／森ビル株式会社（元付の建物ページ・DH図鑑）。森ビルを入力済み。重要事項調査報告書で要確認</t>
        </is>
      </c>
    </row>
    <row r="200">
      <c r="A200" s="9" t="inlineStr">
        <is>
          <t>08</t>
        </is>
      </c>
      <c r="B200" s="9" t="inlineStr">
        <is>
          <t>元麻布ヒルズ フォレストテラスイースト</t>
        </is>
      </c>
      <c r="C200" s="9" t="inlineStr">
        <is>
          <t>3階</t>
        </is>
      </c>
      <c r="D200" s="9" t="inlineStr">
        <is>
          <t>文言</t>
        </is>
      </c>
      <c r="E200" s="9" t="inlineStr">
        <is>
          <t>バルコニー面積：図面・元付HPとも記載なし（同面積4階住戸は16.37㎡＝別住戸のため流用しない）。空欄。元付に確認</t>
        </is>
      </c>
    </row>
    <row r="201">
      <c r="A201" s="9" t="inlineStr">
        <is>
          <t>08</t>
        </is>
      </c>
      <c r="B201" s="9" t="inlineStr">
        <is>
          <t>元麻布ヒルズ フォレストテラスイースト</t>
        </is>
      </c>
      <c r="C201" s="9" t="inlineStr">
        <is>
          <t>3階</t>
        </is>
      </c>
      <c r="D201" s="9" t="inlineStr">
        <is>
          <t>文言</t>
        </is>
      </c>
      <c r="E201" s="9" t="inlineStr">
        <is>
          <t>敷地面積：12,380.37㎡実測（図面 A-p14）／12,309㎡（森ビル公式）／12,119.65㎡（同敷地のA-p13）。図面値を入力済み。登記簿で要確認</t>
        </is>
      </c>
    </row>
    <row r="202">
      <c r="A202" s="9" t="inlineStr">
        <is>
          <t>08</t>
        </is>
      </c>
      <c r="B202" s="9" t="inlineStr">
        <is>
          <t>元麻布ヒルズ フォレストテラスイースト</t>
        </is>
      </c>
      <c r="C202" s="9" t="inlineStr">
        <is>
          <t>3階</t>
        </is>
      </c>
      <c r="D202" s="9" t="inlineStr">
        <is>
          <t>文言</t>
        </is>
      </c>
      <c r="E202" s="9" t="inlineStr">
        <is>
          <t>用途地域：第二種中高層住居専用地域（図面 A-p14）／第一種中高層住居専用地域（同敷地のA-p13）。図面値を入力</t>
        </is>
      </c>
    </row>
    <row r="203">
      <c r="A203" s="9" t="inlineStr">
        <is>
          <t>08</t>
        </is>
      </c>
      <c r="B203" s="9" t="inlineStr">
        <is>
          <t>元麻布ヒルズ フォレストテラスイースト</t>
        </is>
      </c>
      <c r="C203" s="9" t="inlineStr">
        <is>
          <t>3階</t>
        </is>
      </c>
      <c r="D203" s="9" t="inlineStr">
        <is>
          <t>文言</t>
        </is>
      </c>
      <c r="E203" s="9" t="inlineStr">
        <is>
          <t>交通：図面は南北線「麻布十番」徒歩7分のみ。大江戸線「麻布十番」徒歩6分・日比谷線「広尾」徒歩13分は元付の建物ページ記載値。載せるか要判断</t>
        </is>
      </c>
    </row>
    <row r="204">
      <c r="A204" s="9" t="inlineStr">
        <is>
          <t>08</t>
        </is>
      </c>
      <c r="B204" s="9" t="inlineStr">
        <is>
          <t>元麻布ヒルズ フォレストテラスイースト</t>
        </is>
      </c>
      <c r="C204" s="9" t="inlineStr">
        <is>
          <t>3階</t>
        </is>
      </c>
      <c r="D204" s="9" t="inlineStr">
        <is>
          <t>文言</t>
        </is>
      </c>
      <c r="E204" s="9" t="inlineStr">
        <is>
          <t>キッチン：現行の間取図（冷蔵庫置場2か所＋島型）と、室内写真（壁付け＋半円テーブル＝2021年掲載と同じ画像）が合わない。改修済みか、写真が改修前か元付に確認。確認までは「リフォーム済」を付けない</t>
        </is>
      </c>
    </row>
    <row r="205">
      <c r="A205" s="9" t="inlineStr">
        <is>
          <t>08</t>
        </is>
      </c>
      <c r="B205" s="9" t="inlineStr">
        <is>
          <t>元麻布ヒルズ フォレストテラスイースト</t>
        </is>
      </c>
      <c r="C205" s="9" t="inlineStr">
        <is>
          <t>3階</t>
        </is>
      </c>
      <c r="D205" s="9" t="inlineStr">
        <is>
          <t>文言</t>
        </is>
      </c>
      <c r="E205" s="9" t="inlineStr">
        <is>
          <t>大規模修繕：元付HP「2025年1月から約2年間の予定」。2026年9月時点で工事中の可能性。進捗と外観写真との違いを確認</t>
        </is>
      </c>
    </row>
    <row r="206">
      <c r="A206" s="9" t="inlineStr">
        <is>
          <t>08</t>
        </is>
      </c>
      <c r="B206" s="9" t="inlineStr">
        <is>
          <t>元麻布ヒルズ フォレストテラスイースト</t>
        </is>
      </c>
      <c r="C206" s="9" t="inlineStr">
        <is>
          <t>3階</t>
        </is>
      </c>
      <c r="D206" s="9" t="inlineStr">
        <is>
          <t>文言</t>
        </is>
      </c>
      <c r="E206" s="9" t="inlineStr">
        <is>
          <t>価格の税区分：図面に記載なし</t>
        </is>
      </c>
    </row>
    <row r="207">
      <c r="A207" s="9" t="inlineStr">
        <is>
          <t>08</t>
        </is>
      </c>
      <c r="B207" s="9" t="inlineStr">
        <is>
          <t>元麻布ヒルズ フォレストテラスイースト</t>
        </is>
      </c>
      <c r="C207" s="9" t="inlineStr">
        <is>
          <t>3階</t>
        </is>
      </c>
      <c r="D207" s="9" t="inlineStr">
        <is>
          <t>文言</t>
        </is>
      </c>
      <c r="E207" s="9" t="inlineStr">
        <is>
          <t>免震：元付HPの設備欄に「免震構造」とあるが本棟の裏付けなし。設備チェック・コメントとも不使用</t>
        </is>
      </c>
    </row>
    <row r="208">
      <c r="A208" s="9" t="inlineStr">
        <is>
          <t>08</t>
        </is>
      </c>
      <c r="B208" s="9" t="inlineStr">
        <is>
          <t>元麻布ヒルズ フォレストテラスイースト</t>
        </is>
      </c>
      <c r="C208" s="9" t="inlineStr">
        <is>
          <t>3階</t>
        </is>
      </c>
      <c r="D208" s="9" t="inlineStr">
        <is>
          <t>文言</t>
        </is>
      </c>
      <c r="E208" s="9" t="inlineStr">
        <is>
          <t>スカイラウンジ（タワー棟28階）・スカイデッキ・元麻布ヒルズスパ（会員制）の本棟居住者の利用条件が未確認。コメントは「敷地内タワー棟」「入会は別途」と明記</t>
        </is>
      </c>
    </row>
    <row r="209">
      <c r="A209" s="9" t="inlineStr">
        <is>
          <t>08</t>
        </is>
      </c>
      <c r="B209" s="9" t="inlineStr">
        <is>
          <t>元麻布ヒルズ フォレストテラスイースト</t>
        </is>
      </c>
      <c r="C209" s="9" t="inlineStr">
        <is>
          <t>3階</t>
        </is>
      </c>
      <c r="D209" s="9" t="inlineStr">
        <is>
          <t>文言</t>
        </is>
      </c>
      <c r="E209" s="9" t="inlineStr">
        <is>
          <t>画像：許可済み23枚はすべて元付の透かし（Ken Corporation Ltd.）入り。透かしなしの元データを元付に依頼</t>
        </is>
      </c>
    </row>
    <row r="210">
      <c r="A210" s="9" t="inlineStr">
        <is>
          <t>08</t>
        </is>
      </c>
      <c r="B210" s="9" t="inlineStr">
        <is>
          <t>元麻布ヒルズ フォレストテラスイースト</t>
        </is>
      </c>
      <c r="C210" s="9" t="inlineStr">
        <is>
          <t>3階</t>
        </is>
      </c>
      <c r="D210" s="9" t="inlineStr">
        <is>
          <t>文言</t>
        </is>
      </c>
      <c r="E210" s="9" t="inlineStr">
        <is>
          <t>画像19（エントランスホール）はクリスマスツリーが写る季節写真。掲載時期に合わせて差し替え検討</t>
        </is>
      </c>
    </row>
    <row r="211">
      <c r="A211" s="9" t="inlineStr">
        <is>
          <t>08</t>
        </is>
      </c>
      <c r="B211" s="9" t="inlineStr">
        <is>
          <t>元麻布ヒルズ フォレストテラスイースト</t>
        </is>
      </c>
      <c r="C211" s="9" t="inlineStr">
        <is>
          <t>3階</t>
        </is>
      </c>
      <c r="D211" s="9" t="inlineStr">
        <is>
          <t>文言</t>
        </is>
      </c>
      <c r="E211" s="9" t="inlineStr">
        <is>
          <t>室内設備：元付HPに洗濯機・乾燥機・冷蔵庫の記載あり。付帯設備か要確認（未入力）</t>
        </is>
      </c>
    </row>
    <row r="212">
      <c r="A212" s="9" t="inlineStr">
        <is>
          <t>08</t>
        </is>
      </c>
      <c r="B212" s="9" t="inlineStr">
        <is>
          <t>元麻布ヒルズ フォレストテラスイースト</t>
        </is>
      </c>
      <c r="C212" s="9" t="inlineStr">
        <is>
          <t>3階</t>
        </is>
      </c>
      <c r="D212" s="9" t="inlineStr">
        <is>
          <t>文言</t>
        </is>
      </c>
      <c r="E212" s="9" t="inlineStr">
        <is>
          <t>小学校区：港区立南山小学校の距離が元付HP内で約500m／約800mと食い違うため距離は空欄。中学校区は未確認</t>
        </is>
      </c>
    </row>
    <row r="213">
      <c r="A213" s="9" t="inlineStr">
        <is>
          <t>08</t>
        </is>
      </c>
      <c r="B213" s="9" t="inlineStr">
        <is>
          <t>元麻布ヒルズ フォレストテラスイースト</t>
        </is>
      </c>
      <c r="C213" s="9" t="inlineStr">
        <is>
          <t>3階</t>
        </is>
      </c>
      <c r="D213" s="9" t="inlineStr">
        <is>
          <t>推測入力</t>
        </is>
      </c>
      <c r="E213" s="9" t="inlineStr">
        <is>
          <t>設備チェック「プール・フィットネス」：本棟1階の会員制スパ（ヒルズスパ公式・入会別途）を根拠に選択</t>
        </is>
      </c>
    </row>
    <row r="214">
      <c r="A214" s="9" t="inlineStr">
        <is>
          <t>08</t>
        </is>
      </c>
      <c r="B214" s="9" t="inlineStr">
        <is>
          <t>元麻布ヒルズ フォレストテラスイースト</t>
        </is>
      </c>
      <c r="C214" s="9" t="inlineStr">
        <is>
          <t>3階</t>
        </is>
      </c>
      <c r="D214" s="9" t="inlineStr">
        <is>
          <t>推測入力</t>
        </is>
      </c>
      <c r="E214" s="9" t="inlineStr">
        <is>
          <t>設備チェック「閑静な住宅街」「低層マンション」：元付HP・図面特徴欄の記載を根拠に選択</t>
        </is>
      </c>
    </row>
    <row r="215">
      <c r="A215" s="9" t="inlineStr">
        <is>
          <t>08</t>
        </is>
      </c>
      <c r="B215" s="9" t="inlineStr">
        <is>
          <t>元麻布ヒルズ フォレストテラスイースト</t>
        </is>
      </c>
      <c r="C215" s="9" t="inlineStr">
        <is>
          <t>3階</t>
        </is>
      </c>
      <c r="D215" s="9" t="inlineStr">
        <is>
          <t>推測入力</t>
        </is>
      </c>
      <c r="E215" s="9" t="inlineStr">
        <is>
          <t>画像カテゴリ：外観2枚目以降・回廊・ゲート・パーゴラ・緑地は19（その他共用部分）、間取図2枚目はなし</t>
        </is>
      </c>
    </row>
    <row r="216">
      <c r="A216" s="9" t="inlineStr">
        <is>
          <t>08</t>
        </is>
      </c>
      <c r="B216" s="9" t="inlineStr">
        <is>
          <t>元麻布ヒルズ フォレストテラスイースト</t>
        </is>
      </c>
      <c r="C216" s="9" t="inlineStr">
        <is>
          <t>3階</t>
        </is>
      </c>
      <c r="D216" s="9" t="inlineStr">
        <is>
          <t>推測入力</t>
        </is>
      </c>
      <c r="E216" s="9" t="inlineStr">
        <is>
          <t>画像コメントの暮らしのイメージ（「散策のように楽しめる」「花見を楽しめる」等）と、写真から読み取った仕上げ（石張り・ウッドデッキ・2ボウル等）の表現</t>
        </is>
      </c>
    </row>
    <row r="217">
      <c r="A217" s="9" t="inlineStr">
        <is>
          <t>08</t>
        </is>
      </c>
      <c r="B217" s="9" t="inlineStr">
        <is>
          <t>元麻布ヒルズ フォレストテラスイースト</t>
        </is>
      </c>
      <c r="C217" s="9" t="inlineStr">
        <is>
          <t>3階</t>
        </is>
      </c>
      <c r="D217" s="9" t="inlineStr">
        <is>
          <t>推測入力</t>
        </is>
      </c>
      <c r="E217" s="9" t="inlineStr">
        <is>
          <t>眺望写真2枚は元付（KEN）の過去掲載だが、他社掲載フォルダの取り扱いに従い要許可側に入れた</t>
        </is>
      </c>
    </row>
    <row r="218">
      <c r="A218" s="9" t="inlineStr">
        <is>
          <t>09</t>
        </is>
      </c>
      <c r="B218" s="9" t="inlineStr">
        <is>
          <t>パークコート虎ノ門愛宕タワー</t>
        </is>
      </c>
      <c r="C218" s="9" t="inlineStr">
        <is>
          <t>29-30階</t>
        </is>
      </c>
      <c r="D218" s="9" t="inlineStr">
        <is>
          <t>文言</t>
        </is>
      </c>
      <c r="E218" s="9" t="inlineStr">
        <is>
          <t>竣工年月：2008年4月（図面 A-p15・ケン・SUUMO・リハウス）／2008年6月（ノムコム・東急リバブル・住友ステップ）。図面値を入力</t>
        </is>
      </c>
    </row>
    <row r="219">
      <c r="A219" s="9" t="inlineStr">
        <is>
          <t>09</t>
        </is>
      </c>
      <c r="B219" s="9" t="inlineStr">
        <is>
          <t>パークコート虎ノ門愛宕タワー</t>
        </is>
      </c>
      <c r="C219" s="9" t="inlineStr">
        <is>
          <t>29-30階</t>
        </is>
      </c>
      <c r="D219" s="9" t="inlineStr">
        <is>
          <t>文言</t>
        </is>
      </c>
      <c r="E219" s="9" t="inlineStr">
        <is>
          <t>管理形態：管理員日勤（図面 A-p15）／24時間有人管理・夜間セキュリティ待機（ケン・東急リバブル）。図面値を入力。コメントでは24時間有人管理を使っていない</t>
        </is>
      </c>
    </row>
    <row r="220">
      <c r="A220" s="9" t="inlineStr">
        <is>
          <t>09</t>
        </is>
      </c>
      <c r="B220" s="9" t="inlineStr">
        <is>
          <t>パークコート虎ノ門愛宕タワー</t>
        </is>
      </c>
      <c r="C220" s="9" t="inlineStr">
        <is>
          <t>29-30階</t>
        </is>
      </c>
      <c r="D220" s="9" t="inlineStr">
        <is>
          <t>文言</t>
        </is>
      </c>
      <c r="E220" s="9" t="inlineStr">
        <is>
          <t>交通：虎ノ門ヒルズ駅 徒歩6分（図面）／4分（リハウス・ケン）、御成門駅 徒歩9分（図面）／8分（リハウス・住友ステップ）。図面値を入力</t>
        </is>
      </c>
    </row>
    <row r="221">
      <c r="A221" s="9" t="inlineStr">
        <is>
          <t>09</t>
        </is>
      </c>
      <c r="B221" s="9" t="inlineStr">
        <is>
          <t>パークコート虎ノ門愛宕タワー</t>
        </is>
      </c>
      <c r="C221" s="9" t="inlineStr">
        <is>
          <t>29-30階</t>
        </is>
      </c>
      <c r="D221" s="9" t="inlineStr">
        <is>
          <t>文言</t>
        </is>
      </c>
      <c r="E221" s="9" t="inlineStr">
        <is>
          <t>敷地面積：3,165.57㎡（図面 A-p15）／3,165.49㎡（住友ステップ・東京タワーマンションズ）。図面値を入力</t>
        </is>
      </c>
    </row>
    <row r="222">
      <c r="A222" s="9" t="inlineStr">
        <is>
          <t>09</t>
        </is>
      </c>
      <c r="B222" s="9" t="inlineStr">
        <is>
          <t>パークコート虎ノ門愛宕タワー</t>
        </is>
      </c>
      <c r="C222" s="9" t="inlineStr">
        <is>
          <t>29-30階</t>
        </is>
      </c>
      <c r="D222" s="9" t="inlineStr">
        <is>
          <t>文言</t>
        </is>
      </c>
      <c r="E222" s="9" t="inlineStr">
        <is>
          <t>ルーフバルコニー使用料：図面に記載なし。元付に確認</t>
        </is>
      </c>
    </row>
    <row r="223">
      <c r="A223" s="9" t="inlineStr">
        <is>
          <t>09</t>
        </is>
      </c>
      <c r="B223" s="9" t="inlineStr">
        <is>
          <t>パークコート虎ノ門愛宕タワー</t>
        </is>
      </c>
      <c r="C223" s="9" t="inlineStr">
        <is>
          <t>29-30階</t>
        </is>
      </c>
      <c r="D223" s="9" t="inlineStr">
        <is>
          <t>文言</t>
        </is>
      </c>
      <c r="E223" s="9" t="inlineStr">
        <is>
          <t>ペット：図面に記載なし。ポータル（長谷工・ノムコム・リハウス）で飼育可（細則）。basicには入力、コメント・設備チェックでは使っていない。規約で要確認</t>
        </is>
      </c>
    </row>
    <row r="224">
      <c r="A224" s="9" t="inlineStr">
        <is>
          <t>09</t>
        </is>
      </c>
      <c r="B224" s="9" t="inlineStr">
        <is>
          <t>パークコート虎ノ門愛宕タワー</t>
        </is>
      </c>
      <c r="C224" s="9" t="inlineStr">
        <is>
          <t>29-30階</t>
        </is>
      </c>
      <c r="D224" s="9" t="inlineStr">
        <is>
          <t>文言</t>
        </is>
      </c>
      <c r="E224" s="9" t="inlineStr">
        <is>
          <t>価格の税区分：図面に記載なし。元付TEL：図面に記載なし</t>
        </is>
      </c>
    </row>
    <row r="225">
      <c r="A225" s="9" t="inlineStr">
        <is>
          <t>09</t>
        </is>
      </c>
      <c r="B225" s="9" t="inlineStr">
        <is>
          <t>パークコート虎ノ門愛宕タワー</t>
        </is>
      </c>
      <c r="C225" s="9" t="inlineStr">
        <is>
          <t>29-30階</t>
        </is>
      </c>
      <c r="D225" s="9" t="inlineStr">
        <is>
          <t>文言</t>
        </is>
      </c>
      <c r="E225" s="9" t="inlineStr">
        <is>
          <t>外観写真：販売図面 A-p15 の外観写真はフォルダに未保存のため `work/pdf_images/A_p15_img06_478x356.jpeg` を参照。09フォルダの共用部へコピーして使うと管理しやすい</t>
        </is>
      </c>
    </row>
    <row r="226">
      <c r="A226" s="9" t="inlineStr">
        <is>
          <t>09</t>
        </is>
      </c>
      <c r="B226" s="9" t="inlineStr">
        <is>
          <t>パークコート虎ノ門愛宕タワー</t>
        </is>
      </c>
      <c r="C226" s="9" t="inlineStr">
        <is>
          <t>29-30階</t>
        </is>
      </c>
      <c r="D226" s="9" t="inlineStr">
        <is>
          <t>文言</t>
        </is>
      </c>
      <c r="E226" s="9" t="inlineStr">
        <is>
          <t>室内写真はすべて販売図面の埋め込み画像（約470px・黒い縁取り付き）。解像度が低いので元付に元データを依頼</t>
        </is>
      </c>
    </row>
    <row r="227">
      <c r="A227" s="9" t="inlineStr">
        <is>
          <t>09</t>
        </is>
      </c>
      <c r="B227" s="9" t="inlineStr">
        <is>
          <t>パークコート虎ノ門愛宕タワー</t>
        </is>
      </c>
      <c r="C227" s="9" t="inlineStr">
        <is>
          <t>29-30階</t>
        </is>
      </c>
      <c r="D227" s="9" t="inlineStr">
        <is>
          <t>文言</t>
        </is>
      </c>
      <c r="E227" s="9" t="inlineStr">
        <is>
          <t>写真に家具（ソファ・ベッド・ダイニングセット）が写っている。付帯の有無は図面に記載なし。コメントでは付帯をうたっていない</t>
        </is>
      </c>
    </row>
    <row r="228">
      <c r="A228" s="9" t="inlineStr">
        <is>
          <t>09</t>
        </is>
      </c>
      <c r="B228" s="9" t="inlineStr">
        <is>
          <t>パークコート虎ノ門愛宕タワー</t>
        </is>
      </c>
      <c r="C228" s="9" t="inlineStr">
        <is>
          <t>29-30階</t>
        </is>
      </c>
      <c r="D228" s="9" t="inlineStr">
        <is>
          <t>文言</t>
        </is>
      </c>
      <c r="E228" s="9" t="inlineStr">
        <is>
          <t>床暖房・食洗機・ディスポーザー・浴室換気乾燥機：ポータルでは分譲時の標準装備とされているが、当住戸の現況は未確認のため未選択</t>
        </is>
      </c>
    </row>
    <row r="229">
      <c r="A229" s="9" t="inlineStr">
        <is>
          <t>09</t>
        </is>
      </c>
      <c r="B229" s="9" t="inlineStr">
        <is>
          <t>パークコート虎ノ門愛宕タワー</t>
        </is>
      </c>
      <c r="C229" s="9" t="inlineStr">
        <is>
          <t>29-30階</t>
        </is>
      </c>
      <c r="D229" s="9" t="inlineStr">
        <is>
          <t>文言</t>
        </is>
      </c>
      <c r="E229" s="9" t="inlineStr">
        <is>
          <t>「風致地区」（図面キャッチコピー）：区域に入るかを港区公式で確認できていないため、コメントでは使っていない</t>
        </is>
      </c>
    </row>
    <row r="230">
      <c r="A230" s="9" t="inlineStr">
        <is>
          <t>09</t>
        </is>
      </c>
      <c r="B230" s="9" t="inlineStr">
        <is>
          <t>パークコート虎ノ門愛宕タワー</t>
        </is>
      </c>
      <c r="C230" s="9" t="inlineStr">
        <is>
          <t>29-30階</t>
        </is>
      </c>
      <c r="D230" s="9" t="inlineStr">
        <is>
          <t>文言</t>
        </is>
      </c>
      <c r="E230" s="9" t="inlineStr">
        <is>
          <t>リフォーム：図面の「Bath(2023)」は浴室サイズの表記と判断し、リフォームとしては扱っていない。同じマンションの別の29・30階住戸（168.23㎡・2024年5月リフォーム）の情報と混同しないこと</t>
        </is>
      </c>
    </row>
    <row r="231">
      <c r="A231" s="9" t="inlineStr">
        <is>
          <t>09</t>
        </is>
      </c>
      <c r="B231" s="9" t="inlineStr">
        <is>
          <t>パークコート虎ノ門愛宕タワー</t>
        </is>
      </c>
      <c r="C231" s="9" t="inlineStr">
        <is>
          <t>29-30階</t>
        </is>
      </c>
      <c r="D231" s="9" t="inlineStr">
        <is>
          <t>文言</t>
        </is>
      </c>
      <c r="E231" s="9" t="inlineStr">
        <is>
          <t>画像：許可済み10枚（外観1・間取図2・室内7）。分譲公式（31mansion.com）の13枚と他社掲載の21枚は、転載許可が取れるまで登録しない</t>
        </is>
      </c>
    </row>
    <row r="232">
      <c r="A232" s="9" t="inlineStr">
        <is>
          <t>09</t>
        </is>
      </c>
      <c r="B232" s="9" t="inlineStr">
        <is>
          <t>パークコート虎ノ門愛宕タワー</t>
        </is>
      </c>
      <c r="C232" s="9" t="inlineStr">
        <is>
          <t>29-30階</t>
        </is>
      </c>
      <c r="D232" s="9" t="inlineStr">
        <is>
          <t>推測入力</t>
        </is>
      </c>
      <c r="E232" s="9" t="inlineStr">
        <is>
          <t>設備チェック「オートロック・防犯カメラ・宅配ボックス・内廊下・コンシェルジュ・制震構造・二重床・24時間ゴミ出し」：ポータル記載を根拠に選択</t>
        </is>
      </c>
    </row>
    <row r="233">
      <c r="A233" s="9" t="inlineStr">
        <is>
          <t>09</t>
        </is>
      </c>
      <c r="B233" s="9" t="inlineStr">
        <is>
          <t>パークコート虎ノ門愛宕タワー</t>
        </is>
      </c>
      <c r="C233" s="9" t="inlineStr">
        <is>
          <t>29-30階</t>
        </is>
      </c>
      <c r="D233" s="9" t="inlineStr">
        <is>
          <t>推測入力</t>
        </is>
      </c>
      <c r="E233" s="9" t="inlineStr">
        <is>
          <t>画像カテゴリ：30階の間取図は15（その他）、外観2枚目以降・車寄せ・ストーンガーデン・ラウンジ・ゲストルーム・廊下は19（その他共用部分）とした</t>
        </is>
      </c>
    </row>
    <row r="234">
      <c r="A234" s="9" t="inlineStr">
        <is>
          <t>09</t>
        </is>
      </c>
      <c r="B234" s="9" t="inlineStr">
        <is>
          <t>パークコート虎ノ門愛宕タワー</t>
        </is>
      </c>
      <c r="C234" s="9" t="inlineStr">
        <is>
          <t>29-30階</t>
        </is>
      </c>
      <c r="D234" s="9" t="inlineStr">
        <is>
          <t>推測入力</t>
        </is>
      </c>
      <c r="E234" s="9" t="inlineStr">
        <is>
          <t>写真06・07はどちらも吹き抜けに面した室内窓があるため30階の寝室と判断した（図面の写真キャプションは「主寝室」「寝室」）。帖数はコメントに入れていない</t>
        </is>
      </c>
    </row>
    <row r="235">
      <c r="A235" s="9" t="inlineStr">
        <is>
          <t>09</t>
        </is>
      </c>
      <c r="B235" s="9" t="inlineStr">
        <is>
          <t>パークコート虎ノ門愛宕タワー</t>
        </is>
      </c>
      <c r="C235" s="9" t="inlineStr">
        <is>
          <t>29-30階</t>
        </is>
      </c>
      <c r="D235" s="9" t="inlineStr">
        <is>
          <t>推測入力</t>
        </is>
      </c>
      <c r="E235" s="9" t="inlineStr">
        <is>
          <t>コメントの表現（「屋外で過ごす時間に」「帰宅時の景色」等の暮らしのイメージ）</t>
        </is>
      </c>
    </row>
    <row r="236">
      <c r="A236" s="9" t="inlineStr">
        <is>
          <t>10</t>
        </is>
      </c>
      <c r="B236" s="9" t="inlineStr">
        <is>
          <t>東京ツインパークス</t>
        </is>
      </c>
      <c r="C236" s="9" t="inlineStr">
        <is>
          <t>レフトウィング4603号室</t>
        </is>
      </c>
      <c r="D236" s="9" t="inlineStr">
        <is>
          <t>文言</t>
        </is>
      </c>
      <c r="E236" s="9" t="inlineStr">
        <is>
          <t>交通の徒歩分数：汐留2分・浜松町6分・新橋8分（図面 A-p16）／汐留3分・浜松町8分・新橋10分（ノムコム・SUUMO）。図面値を入力済み。大門駅徒歩8分はKEN記載値（図面になし）</t>
        </is>
      </c>
    </row>
    <row r="237">
      <c r="A237" s="9" t="inlineStr">
        <is>
          <t>10</t>
        </is>
      </c>
      <c r="B237" s="9" t="inlineStr">
        <is>
          <t>東京ツインパークス</t>
        </is>
      </c>
      <c r="C237" s="9" t="inlineStr">
        <is>
          <t>レフトウィング4603号室</t>
        </is>
      </c>
      <c r="D237" s="9" t="inlineStr">
        <is>
          <t>文言</t>
        </is>
      </c>
      <c r="E237" s="9" t="inlineStr">
        <is>
          <t>総戸数：1,000戸・2棟合計（Wikipedia・SUUMOジャーナル）／レフトウィング577戸（Wikipedia・マンションレビュー・KEN）／576戸（SUUMO・ノムコム）。図面に記載なし。1,000戸（2棟合計）を入力済み。21Cloudの総戸数欄を棟単位にするか確認</t>
        </is>
      </c>
    </row>
    <row r="238">
      <c r="A238" s="9" t="inlineStr">
        <is>
          <t>10</t>
        </is>
      </c>
      <c r="B238" s="9" t="inlineStr">
        <is>
          <t>東京ツインパークス</t>
        </is>
      </c>
      <c r="C238" s="9" t="inlineStr">
        <is>
          <t>レフトウィング4603号室</t>
        </is>
      </c>
      <c r="D238" s="9" t="inlineStr">
        <is>
          <t>文言</t>
        </is>
      </c>
      <c r="E238" s="9" t="inlineStr">
        <is>
          <t>築年月：2002年9月（図面 A-p16・ノムコム）／2002年10月（Wikipedia。ライトウィングの竣工月とみられる）</t>
        </is>
      </c>
    </row>
    <row r="239">
      <c r="A239" s="9" t="inlineStr">
        <is>
          <t>10</t>
        </is>
      </c>
      <c r="B239" s="9" t="inlineStr">
        <is>
          <t>東京ツインパークス</t>
        </is>
      </c>
      <c r="C239" s="9" t="inlineStr">
        <is>
          <t>レフトウィング4603号室</t>
        </is>
      </c>
      <c r="D239" s="9" t="inlineStr">
        <is>
          <t>文言</t>
        </is>
      </c>
      <c r="E239" s="9" t="inlineStr">
        <is>
          <t>敷地面積：15,565.56㎡（図面 A-p16）／15,564.87㎡（Wikipedia）／15,565.5㎡（ノムコム）。図面値を入力済み</t>
        </is>
      </c>
    </row>
    <row r="240">
      <c r="A240" s="9" t="inlineStr">
        <is>
          <t>10</t>
        </is>
      </c>
      <c r="B240" s="9" t="inlineStr">
        <is>
          <t>東京ツインパークス</t>
        </is>
      </c>
      <c r="C240" s="9" t="inlineStr">
        <is>
          <t>レフトウィング4603号室</t>
        </is>
      </c>
      <c r="D240" s="9" t="inlineStr">
        <is>
          <t>文言</t>
        </is>
      </c>
      <c r="E240" s="9" t="inlineStr">
        <is>
          <t>分譲会社：三菱地所ほか8社（ノムコム・Wikipedia）／「三菱商事・三井不動産・住友不動産他」（プリンセススクゥエアー）。各社公式では未確認</t>
        </is>
      </c>
    </row>
    <row r="241">
      <c r="A241" s="9" t="inlineStr">
        <is>
          <t>10</t>
        </is>
      </c>
      <c r="B241" s="9" t="inlineStr">
        <is>
          <t>東京ツインパークス</t>
        </is>
      </c>
      <c r="C241" s="9" t="inlineStr">
        <is>
          <t>レフトウィング4603号室</t>
        </is>
      </c>
      <c r="D241" s="9" t="inlineStr">
        <is>
          <t>文言</t>
        </is>
      </c>
      <c r="E241" s="9" t="inlineStr">
        <is>
          <t>向き・角部屋：図面に記載なし。南西（ノムコム・SUUMO向き欄）・南西/北西の角住戸（同紹介文）を入力。コメントにも使用しているため元付に確認推奨</t>
        </is>
      </c>
    </row>
    <row r="242">
      <c r="A242" s="9" t="inlineStr">
        <is>
          <t>10</t>
        </is>
      </c>
      <c r="B242" s="9" t="inlineStr">
        <is>
          <t>東京ツインパークス</t>
        </is>
      </c>
      <c r="C242" s="9" t="inlineStr">
        <is>
          <t>レフトウィング4603号室</t>
        </is>
      </c>
      <c r="D242" s="9" t="inlineStr">
        <is>
          <t>文言</t>
        </is>
      </c>
      <c r="E242" s="9" t="inlineStr">
        <is>
          <t>ザ・スカイハウス：使用料7,000円と専用使用権（図面）以外の内容（施設か、45〜47階住戸群の呼称か）は未確認。コメントでは「専用使用権」とだけ表記し、施設の説明はしていない</t>
        </is>
      </c>
    </row>
    <row r="243">
      <c r="A243" s="9" t="inlineStr">
        <is>
          <t>10</t>
        </is>
      </c>
      <c r="B243" s="9" t="inlineStr">
        <is>
          <t>東京ツインパークス</t>
        </is>
      </c>
      <c r="C243" s="9" t="inlineStr">
        <is>
          <t>レフトウィング4603号室</t>
        </is>
      </c>
      <c r="D243" s="9" t="inlineStr">
        <is>
          <t>文言</t>
        </is>
      </c>
      <c r="E243" s="9" t="inlineStr">
        <is>
          <t>専用駐車場（平置き付設）70,000円：契約が必須か任意かは未確認（ノムコム・SUUMOの駐車場欄は「-」）</t>
        </is>
      </c>
    </row>
    <row r="244">
      <c r="A244" s="9" t="inlineStr">
        <is>
          <t>10</t>
        </is>
      </c>
      <c r="B244" s="9" t="inlineStr">
        <is>
          <t>東京ツインパークス</t>
        </is>
      </c>
      <c r="C244" s="9" t="inlineStr">
        <is>
          <t>レフトウィング4603号室</t>
        </is>
      </c>
      <c r="D244" s="9" t="inlineStr">
        <is>
          <t>文言</t>
        </is>
      </c>
      <c r="E244" s="9" t="inlineStr">
        <is>
          <t>ペット飼育可（規約制限あり）：ノムコム・SUUMO記載のみで図面に記載なし。設備チェックで「ペット相談」を付ける前に規約を確認。コメントには入れていない</t>
        </is>
      </c>
    </row>
    <row r="245">
      <c r="A245" s="9" t="inlineStr">
        <is>
          <t>10</t>
        </is>
      </c>
      <c r="B245" s="9" t="inlineStr">
        <is>
          <t>東京ツインパークス</t>
        </is>
      </c>
      <c r="C245" s="9" t="inlineStr">
        <is>
          <t>レフトウィング4603号室</t>
        </is>
      </c>
      <c r="D245" s="9" t="inlineStr">
        <is>
          <t>文言</t>
        </is>
      </c>
      <c r="E245" s="9" t="inlineStr">
        <is>
          <t>SUUMO特徴の「全居室フローリング」は、写真（主寝室・洋室がカーペット）と合わないため選択していない</t>
        </is>
      </c>
    </row>
    <row r="246">
      <c r="A246" s="9" t="inlineStr">
        <is>
          <t>10</t>
        </is>
      </c>
      <c r="B246" s="9" t="inlineStr">
        <is>
          <t>東京ツインパークス</t>
        </is>
      </c>
      <c r="C246" s="9" t="inlineStr">
        <is>
          <t>レフトウィング4603号室</t>
        </is>
      </c>
      <c r="D246" s="9" t="inlineStr">
        <is>
          <t>文言</t>
        </is>
      </c>
      <c r="E246" s="9" t="inlineStr">
        <is>
          <t>許可済み画像は販売図面PDF由来の2枚のみ（外観なし）。元付サンウッドHPに本住戸の掲載がなく、室内・共用部・周辺の38枚はノムコム（野村不動産ソリューションズ）の同住戸掲載写真で、転載許可の範囲外の可能性があるため要許可に分類</t>
        </is>
      </c>
    </row>
    <row r="247">
      <c r="A247" s="9" t="inlineStr">
        <is>
          <t>10</t>
        </is>
      </c>
      <c r="B247" s="9" t="inlineStr">
        <is>
          <t>東京ツインパークス</t>
        </is>
      </c>
      <c r="C247" s="9" t="inlineStr">
        <is>
          <t>レフトウィング4603号室</t>
        </is>
      </c>
      <c r="D247" s="9" t="inlineStr">
        <is>
          <t>文言</t>
        </is>
      </c>
      <c r="E247" s="9" t="inlineStr">
        <is>
          <t>許可済み画像の注記：01_リビング.jpg は図面の背景写真（帯状の画像3枚を縦に結合したもの。夜景の合成有無は不明）。02_間取図_販売図面.jpg は写真の上に重ねた間取図で文字が読みにくいため、ノムコム間取図の許可が取れれば差し替えを推奨</t>
        </is>
      </c>
    </row>
    <row r="248">
      <c r="A248" s="9" t="inlineStr">
        <is>
          <t>10</t>
        </is>
      </c>
      <c r="B248" s="9" t="inlineStr">
        <is>
          <t>東京ツインパークス</t>
        </is>
      </c>
      <c r="C248" s="9" t="inlineStr">
        <is>
          <t>レフトウィング4603号室</t>
        </is>
      </c>
      <c r="D248" s="9" t="inlineStr">
        <is>
          <t>文言</t>
        </is>
      </c>
      <c r="E248" s="9" t="inlineStr">
        <is>
          <t>図面のキャッチ「46階のプレミアム住戸で最上級の毎日を」は最上級表現のため不使用</t>
        </is>
      </c>
    </row>
    <row r="249">
      <c r="A249" s="9" t="inlineStr">
        <is>
          <t>10</t>
        </is>
      </c>
      <c r="B249" s="9" t="inlineStr">
        <is>
          <t>東京ツインパークス</t>
        </is>
      </c>
      <c r="C249" s="9" t="inlineStr">
        <is>
          <t>レフトウィング4603号室</t>
        </is>
      </c>
      <c r="D249" s="9" t="inlineStr">
        <is>
          <t>推測入力</t>
        </is>
      </c>
      <c r="E249" s="9" t="inlineStr">
        <is>
          <t>設備チェック「ダブルボウル洗面台」：写真 14_洗面室.jpg で洗面ボウル2つを確認したため選択（出典の文字情報なし）</t>
        </is>
      </c>
    </row>
    <row r="250">
      <c r="A250" s="9" t="inlineStr">
        <is>
          <t>10</t>
        </is>
      </c>
      <c r="B250" s="9" t="inlineStr">
        <is>
          <t>東京ツインパークス</t>
        </is>
      </c>
      <c r="C250" s="9" t="inlineStr">
        <is>
          <t>レフトウィング4603号室</t>
        </is>
      </c>
      <c r="D250" s="9" t="inlineStr">
        <is>
          <t>推測入力</t>
        </is>
      </c>
      <c r="E250" s="9" t="inlineStr">
        <is>
          <t>設備チェック「タワーマンション・大規模マンション」：地上47階建（図面）・総戸数1,000戸（Wikipedia）から判断</t>
        </is>
      </c>
    </row>
    <row r="251">
      <c r="A251" s="9" t="inlineStr">
        <is>
          <t>10</t>
        </is>
      </c>
      <c r="B251" s="9" t="inlineStr">
        <is>
          <t>東京ツインパークス</t>
        </is>
      </c>
      <c r="C251" s="9" t="inlineStr">
        <is>
          <t>レフトウィング4603号室</t>
        </is>
      </c>
      <c r="D251" s="9" t="inlineStr">
        <is>
          <t>推測入力</t>
        </is>
      </c>
      <c r="E251" s="9" t="inlineStr">
        <is>
          <t>画像カテゴリ：ダイニング写真は該当カテゴリがないため「リビング(4)」、庭園・ラウンジ・フィットネス・カウンター席は「その他共用部分(19)」、周辺施設は「その他(15)」とした</t>
        </is>
      </c>
    </row>
    <row r="252">
      <c r="A252" s="9" t="inlineStr">
        <is>
          <t>10</t>
        </is>
      </c>
      <c r="B252" s="9" t="inlineStr">
        <is>
          <t>東京ツインパークス</t>
        </is>
      </c>
      <c r="C252" s="9" t="inlineStr">
        <is>
          <t>レフトウィング4603号室</t>
        </is>
      </c>
      <c r="D252" s="9" t="inlineStr">
        <is>
          <t>推測入力</t>
        </is>
      </c>
      <c r="E252" s="9" t="inlineStr">
        <is>
          <t>コメントの生活イメージ表現（書斎やゲストルームに使える、朝夕の散歩に向く 等）は間取り・周辺施設の事実から作文</t>
        </is>
      </c>
    </row>
    <row r="253">
      <c r="A253" s="9" t="inlineStr">
        <is>
          <t>10</t>
        </is>
      </c>
      <c r="B253" s="9" t="inlineStr">
        <is>
          <t>東京ツインパークス</t>
        </is>
      </c>
      <c r="C253" s="9" t="inlineStr">
        <is>
          <t>レフトウィング4603号室</t>
        </is>
      </c>
      <c r="D253" s="9" t="inlineStr">
        <is>
          <t>推測入力</t>
        </is>
      </c>
      <c r="E253" s="9" t="inlineStr">
        <is>
          <t>画像コメントの「窓付きのキッチン」はノムコムのハッシュタグ、浴室の「1622サイズ」は間取図の表記、「オートバス」はSUUMO特徴を根拠とした</t>
        </is>
      </c>
    </row>
    <row r="254">
      <c r="A254" s="9" t="inlineStr">
        <is>
          <t>11</t>
        </is>
      </c>
      <c r="B254" s="9" t="inlineStr">
        <is>
          <t>乃木坂パークハウス</t>
        </is>
      </c>
      <c r="C254" s="9" t="inlineStr">
        <is>
          <t>21階</t>
        </is>
      </c>
      <c r="D254" s="9" t="inlineStr">
        <is>
          <t>文言</t>
        </is>
      </c>
      <c r="E254" s="9" t="inlineStr">
        <is>
          <t>広告掲載の範囲：図面 A-p17 に「広告：自社HPのみ可能（承諾書不要）、ポータルサイト等その他の広告掲載禁止」「不動産会社間専用販売図面」の表記。依頼者より承諾取得済との指示はあるが、アットホーム（ポータル）掲載のため、承諾の範囲に含まれるか入力前に確認</t>
        </is>
      </c>
    </row>
    <row r="255">
      <c r="A255" s="9" t="inlineStr">
        <is>
          <t>11</t>
        </is>
      </c>
      <c r="B255" s="9" t="inlineStr">
        <is>
          <t>乃木坂パークハウス</t>
        </is>
      </c>
      <c r="C255" s="9" t="inlineStr">
        <is>
          <t>21階</t>
        </is>
      </c>
      <c r="D255" s="9" t="inlineStr">
        <is>
          <t>文言</t>
        </is>
      </c>
      <c r="E255" s="9" t="inlineStr">
        <is>
          <t>管理体制：日勤・全部委託、常駐警備員20時〜翌8時（図面 A-p17）／「365日24時間有人管理」（新築時パンフ p25）・「24時間有人管理（夜間警備員）」（mitaina）。図面表記で入力し、「24時間有人管理」はチェックせず、コメントにも使っていない</t>
        </is>
      </c>
    </row>
    <row r="256">
      <c r="A256" s="9" t="inlineStr">
        <is>
          <t>11</t>
        </is>
      </c>
      <c r="B256" s="9" t="inlineStr">
        <is>
          <t>乃木坂パークハウス</t>
        </is>
      </c>
      <c r="C256" s="9" t="inlineStr">
        <is>
          <t>21階</t>
        </is>
      </c>
      <c r="D256" s="9" t="inlineStr">
        <is>
          <t>文言</t>
        </is>
      </c>
      <c r="E256" s="9" t="inlineStr">
        <is>
          <t>構造：鉄筋コンクリート造（図面 A-p17）／鉄筋コンクリート造一部鉄骨造（新築時概要PDF・三菱地所の住まいリレー）。⑤の採用候補「RC造一部S造」を入力済み</t>
        </is>
      </c>
    </row>
    <row r="257">
      <c r="A257" s="9" t="inlineStr">
        <is>
          <t>11</t>
        </is>
      </c>
      <c r="B257" s="9" t="inlineStr">
        <is>
          <t>乃木坂パークハウス</t>
        </is>
      </c>
      <c r="C257" s="9" t="inlineStr">
        <is>
          <t>21階</t>
        </is>
      </c>
      <c r="D257" s="9" t="inlineStr">
        <is>
          <t>文言</t>
        </is>
      </c>
      <c r="E257" s="9" t="inlineStr">
        <is>
          <t>総戸数：42戸（図面 A-p17・新築時概要PDF）／43戸（マンションレビュー・東京建物）。図面値42戸を入力</t>
        </is>
      </c>
    </row>
    <row r="258">
      <c r="A258" s="9" t="inlineStr">
        <is>
          <t>11</t>
        </is>
      </c>
      <c r="B258" s="9" t="inlineStr">
        <is>
          <t>乃木坂パークハウス</t>
        </is>
      </c>
      <c r="C258" s="9" t="inlineStr">
        <is>
          <t>21階</t>
        </is>
      </c>
      <c r="D258" s="9" t="inlineStr">
        <is>
          <t>文言</t>
        </is>
      </c>
      <c r="E258" s="9" t="inlineStr">
        <is>
          <t>交通：「乃木坂」駅徒歩2分（図面・新築時概要PDF）／3分（三菱地所の住まいリレー）。図面値を入力</t>
        </is>
      </c>
    </row>
    <row r="259">
      <c r="A259" s="9" t="inlineStr">
        <is>
          <t>11</t>
        </is>
      </c>
      <c r="B259" s="9" t="inlineStr">
        <is>
          <t>乃木坂パークハウス</t>
        </is>
      </c>
      <c r="C259" s="9" t="inlineStr">
        <is>
          <t>21階</t>
        </is>
      </c>
      <c r="D259" s="9" t="inlineStr">
        <is>
          <t>文言</t>
        </is>
      </c>
      <c r="E259" s="9" t="inlineStr">
        <is>
          <t>築年月：2010年6月（図面・新築時概要PDF）／2010年8月（アクセルホーム。引渡時期と思われる）。図面値を入力</t>
        </is>
      </c>
    </row>
    <row r="260">
      <c r="A260" s="9" t="inlineStr">
        <is>
          <t>11</t>
        </is>
      </c>
      <c r="B260" s="9" t="inlineStr">
        <is>
          <t>乃木坂パークハウス</t>
        </is>
      </c>
      <c r="C260" s="9" t="inlineStr">
        <is>
          <t>21階</t>
        </is>
      </c>
      <c r="D260" s="9" t="inlineStr">
        <is>
          <t>文言</t>
        </is>
      </c>
      <c r="E260" s="9" t="inlineStr">
        <is>
          <t>向き：図面・元付HPに記載なし。南東（mitaina）を入力。四方角住戸のため、21Cloudの向き欄に何を入れるか確認</t>
        </is>
      </c>
    </row>
    <row r="261">
      <c r="A261" s="9" t="inlineStr">
        <is>
          <t>11</t>
        </is>
      </c>
      <c r="B261" s="9" t="inlineStr">
        <is>
          <t>乃木坂パークハウス</t>
        </is>
      </c>
      <c r="C261" s="9" t="inlineStr">
        <is>
          <t>21階</t>
        </is>
      </c>
      <c r="D261" s="9" t="inlineStr">
        <is>
          <t>文言</t>
        </is>
      </c>
      <c r="E261" s="9" t="inlineStr">
        <is>
          <t>駐車場：「空きあり（2026年3月12日時点・車種による）」は半年以上前の情報。料金48,000〜50,000円はポータル値で公式未確認。いずれも元付に最新状況を確認</t>
        </is>
      </c>
    </row>
    <row r="262">
      <c r="A262" s="9" t="inlineStr">
        <is>
          <t>11</t>
        </is>
      </c>
      <c r="B262" s="9" t="inlineStr">
        <is>
          <t>乃木坂パークハウス</t>
        </is>
      </c>
      <c r="C262" s="9" t="inlineStr">
        <is>
          <t>21階</t>
        </is>
      </c>
      <c r="D262" s="9" t="inlineStr">
        <is>
          <t>文言</t>
        </is>
      </c>
      <c r="E262" s="9" t="inlineStr">
        <is>
          <t>敷地権割合「10,000分の3,999」（元付HP）は1住戸の持分としては大きく要確認。敷地面積1,107.48㎡は新築時概要PDF・元付HPの値（図面に記載なし）</t>
        </is>
      </c>
    </row>
    <row r="263">
      <c r="A263" s="9" t="inlineStr">
        <is>
          <t>11</t>
        </is>
      </c>
      <c r="B263" s="9" t="inlineStr">
        <is>
          <t>乃木坂パークハウス</t>
        </is>
      </c>
      <c r="C263" s="9" t="inlineStr">
        <is>
          <t>21階</t>
        </is>
      </c>
      <c r="D263" s="9" t="inlineStr">
        <is>
          <t>文言</t>
        </is>
      </c>
      <c r="E263" s="9" t="inlineStr">
        <is>
          <t>室内設備（床暖房・食洗機・ディスポーザー・浴室乾燥機・フルオートバス・浄水器）は新築時パンフの仕様で、本住戸の現況は未確認。設備チェックは推測で付けている（guessed参照）。コメントには入れていない</t>
        </is>
      </c>
    </row>
    <row r="264">
      <c r="A264" s="9" t="inlineStr">
        <is>
          <t>11</t>
        </is>
      </c>
      <c r="B264" s="9" t="inlineStr">
        <is>
          <t>乃木坂パークハウス</t>
        </is>
      </c>
      <c r="C264" s="9" t="inlineStr">
        <is>
          <t>21階</t>
        </is>
      </c>
      <c r="D264" s="9" t="inlineStr">
        <is>
          <t>文言</t>
        </is>
      </c>
      <c r="E264" s="9" t="inlineStr">
        <is>
          <t>許可済み画像 8 共用部/02_現地案内図.jpg：画像内に「将来にわたり解放感が損なわれにくい希少な眺望立地」の文言があり、禁止語「希少」を含む。上部の帯をトリミングするか掲載を見送る。販売図面にも「希少性」の文言があるが不使用</t>
        </is>
      </c>
    </row>
    <row r="265">
      <c r="A265" s="9" t="inlineStr">
        <is>
          <t>11</t>
        </is>
      </c>
      <c r="B265" s="9" t="inlineStr">
        <is>
          <t>乃木坂パークハウス</t>
        </is>
      </c>
      <c r="C265" s="9" t="inlineStr">
        <is>
          <t>21階</t>
        </is>
      </c>
      <c r="D265" s="9" t="inlineStr">
        <is>
          <t>文言</t>
        </is>
      </c>
      <c r="E265" s="9" t="inlineStr">
        <is>
          <t>要許可39枚のうち3枚（01_キッチン・06_主寝室・11_浴室）は元付リストホームズのCDN上にあるHP未掲載画像。元付に確認できれば許可済みに移せる。残りは mitaina・プラザホームズ・ハウジング・ジャパン（館銘板は MODERN STANDARD の透かし有）</t>
        </is>
      </c>
    </row>
    <row r="266">
      <c r="A266" s="9" t="inlineStr">
        <is>
          <t>11</t>
        </is>
      </c>
      <c r="B266" s="9" t="inlineStr">
        <is>
          <t>乃木坂パークハウス</t>
        </is>
      </c>
      <c r="C266" s="9" t="inlineStr">
        <is>
          <t>21階</t>
        </is>
      </c>
      <c r="D266" s="9" t="inlineStr">
        <is>
          <t>文言</t>
        </is>
      </c>
      <c r="E266" s="9" t="inlineStr">
        <is>
          <t>図面備考に「イメージ画像のため現況と異なる場合がございます」の記載あり。許可済みの 02_眺望2.jpg（図面由来）は撮影時期の記載なし</t>
        </is>
      </c>
    </row>
    <row r="267">
      <c r="A267" s="9" t="inlineStr">
        <is>
          <t>11</t>
        </is>
      </c>
      <c r="B267" s="9" t="inlineStr">
        <is>
          <t>乃木坂パークハウス</t>
        </is>
      </c>
      <c r="C267" s="9" t="inlineStr">
        <is>
          <t>21階</t>
        </is>
      </c>
      <c r="D267" s="9" t="inlineStr">
        <is>
          <t>推測入力</t>
        </is>
      </c>
      <c r="E267" s="9" t="inlineStr">
        <is>
          <t>設備チェック「床暖房（LD）」「食器洗乾燥機」「ディスポーザー」「浴室乾燥機・追焚（フルオートバス）」「浄水器」：新築時の設備PDFに記載があるため選択。本住戸の現況は未確認（食洗機は mitaina の写真で確認）</t>
        </is>
      </c>
    </row>
    <row r="268">
      <c r="A268" s="9" t="inlineStr">
        <is>
          <t>11</t>
        </is>
      </c>
      <c r="B268" s="9" t="inlineStr">
        <is>
          <t>乃木坂パークハウス</t>
        </is>
      </c>
      <c r="C268" s="9" t="inlineStr">
        <is>
          <t>21階</t>
        </is>
      </c>
      <c r="D268" s="9" t="inlineStr">
        <is>
          <t>推測入力</t>
        </is>
      </c>
      <c r="E268" s="9" t="inlineStr">
        <is>
          <t>設備チェック「タンクレストイレ」：新築時設備PDFの記載と mitaina の写真（タンクのない便器）から選択</t>
        </is>
      </c>
    </row>
    <row r="269">
      <c r="A269" s="9" t="inlineStr">
        <is>
          <t>11</t>
        </is>
      </c>
      <c r="B269" s="9" t="inlineStr">
        <is>
          <t>乃木坂パークハウス</t>
        </is>
      </c>
      <c r="C269" s="9" t="inlineStr">
        <is>
          <t>21階</t>
        </is>
      </c>
      <c r="D269" s="9" t="inlineStr">
        <is>
          <t>推測入力</t>
        </is>
      </c>
      <c r="E269" s="9" t="inlineStr">
        <is>
          <t>画像 4（05_居室.jpg）はファイル名は「居室」だが、物件情報.md ⑦の照合（mitaina のリビング写真と同構図）に従いリビングとした</t>
        </is>
      </c>
    </row>
    <row r="270">
      <c r="A270" s="9" t="inlineStr">
        <is>
          <t>11</t>
        </is>
      </c>
      <c r="B270" s="9" t="inlineStr">
        <is>
          <t>乃木坂パークハウス</t>
        </is>
      </c>
      <c r="C270" s="9" t="inlineStr">
        <is>
          <t>21階</t>
        </is>
      </c>
      <c r="D270" s="9" t="inlineStr">
        <is>
          <t>推測入力</t>
        </is>
      </c>
      <c r="E270" s="9" t="inlineStr">
        <is>
          <t>画像カテゴリ：ダイニングキッチン写真は「キッチン(5)」、車寄せ・ラウンジ・エレベーターホール・館銘板は「その他共用部分(19)」、パントリー・シューズインクローゼットは「収納(12)」とした</t>
        </is>
      </c>
    </row>
    <row r="271">
      <c r="A271" s="9" t="inlineStr">
        <is>
          <t>11</t>
        </is>
      </c>
      <c r="B271" s="9" t="inlineStr">
        <is>
          <t>乃木坂パークハウス</t>
        </is>
      </c>
      <c r="C271" s="9" t="inlineStr">
        <is>
          <t>21階</t>
        </is>
      </c>
      <c r="D271" s="9" t="inlineStr">
        <is>
          <t>推測入力</t>
        </is>
      </c>
      <c r="E271" s="9" t="inlineStr">
        <is>
          <t>画像コメントの眺望方角（リビング側＝六本木・赤坂方面 等）は写真の見え方と図面の眺望方面表記から判断。ダイニング側の「檜町公園方面」、洋室側の「青山方面」は推測を含む</t>
        </is>
      </c>
    </row>
    <row r="272">
      <c r="A272" s="9" t="inlineStr">
        <is>
          <t>11</t>
        </is>
      </c>
      <c r="B272" s="9" t="inlineStr">
        <is>
          <t>乃木坂パークハウス</t>
        </is>
      </c>
      <c r="C272" s="9" t="inlineStr">
        <is>
          <t>21階</t>
        </is>
      </c>
      <c r="D272" s="9" t="inlineStr">
        <is>
          <t>推測入力</t>
        </is>
      </c>
      <c r="E272" s="9" t="inlineStr">
        <is>
          <t>コメントの生活イメージ表現（二世帯・ゲスト・仕事場の使い分け、書斎・子ども部屋 等）は2玄関・2バスルームの間取りから作文</t>
        </is>
      </c>
    </row>
    <row r="273">
      <c r="A273" s="9" t="inlineStr">
        <is>
          <t>12</t>
        </is>
      </c>
      <c r="B273" s="9" t="inlineStr">
        <is>
          <t>HIKAWA GARDENS AKASAKA</t>
        </is>
      </c>
      <c r="C273" s="9" t="inlineStr">
        <is>
          <t>1階</t>
        </is>
      </c>
      <c r="D273" s="9" t="inlineStr">
        <is>
          <t>文言</t>
        </is>
      </c>
      <c r="E273" s="9" t="inlineStr">
        <is>
          <t>広告表記：合豊の図面 A-p18 に「広告掲載不可／内覧方法：立会」、ケンの図面 A-p19 には記載なし。依頼者より承諾取得済との指示はあるが、どちらの元付の承諾で登録するか確認</t>
        </is>
      </c>
    </row>
    <row r="274">
      <c r="A274" s="9" t="inlineStr">
        <is>
          <t>12</t>
        </is>
      </c>
      <c r="B274" s="9" t="inlineStr">
        <is>
          <t>HIKAWA GARDENS AKASAKA</t>
        </is>
      </c>
      <c r="C274" s="9" t="inlineStr">
        <is>
          <t>1階</t>
        </is>
      </c>
      <c r="D274" s="9" t="inlineStr">
        <is>
          <t>文言</t>
        </is>
      </c>
      <c r="E274" s="9" t="inlineStr">
        <is>
          <t>元付・取引態様：ケン・コーポレーション外国部（媒介、物件№2026085910）と合豊（売主代理）の2社。21Cloudに登録する元付を選択</t>
        </is>
      </c>
    </row>
    <row r="275">
      <c r="A275" s="9" t="inlineStr">
        <is>
          <t>12</t>
        </is>
      </c>
      <c r="B275" s="9" t="inlineStr">
        <is>
          <t>HIKAWA GARDENS AKASAKA</t>
        </is>
      </c>
      <c r="C275" s="9" t="inlineStr">
        <is>
          <t>1階</t>
        </is>
      </c>
      <c r="D275" s="9" t="inlineStr">
        <is>
          <t>文言</t>
        </is>
      </c>
      <c r="E275" s="9" t="inlineStr">
        <is>
          <t>間取り表記：3LDK+2バス2トイレ（A-p18 合豊）／3LDK（A-p19 ケン・KEN・SUUMO）。3LDKで入力し、浴室・トイレ2か所は設備チェックとコメントで表示</t>
        </is>
      </c>
    </row>
    <row r="276">
      <c r="A276" s="9" t="inlineStr">
        <is>
          <t>12</t>
        </is>
      </c>
      <c r="B276" s="9" t="inlineStr">
        <is>
          <t>HIKAWA GARDENS AKASAKA</t>
        </is>
      </c>
      <c r="C276" s="9" t="inlineStr">
        <is>
          <t>1階</t>
        </is>
      </c>
      <c r="D276" s="9" t="inlineStr">
        <is>
          <t>文言</t>
        </is>
      </c>
      <c r="E276" s="9" t="inlineStr">
        <is>
          <t>交通：A-p18は南北線「六本木一丁目」徒歩6分のみ。A-p19の3路線（六本木一丁目6分・六本木8分・赤坂8分）で入力</t>
        </is>
      </c>
    </row>
    <row r="277">
      <c r="A277" s="9" t="inlineStr">
        <is>
          <t>12</t>
        </is>
      </c>
      <c r="B277" s="9" t="inlineStr">
        <is>
          <t>HIKAWA GARDENS AKASAKA</t>
        </is>
      </c>
      <c r="C277" s="9" t="inlineStr">
        <is>
          <t>1階</t>
        </is>
      </c>
      <c r="D277" s="9" t="inlineStr">
        <is>
          <t>文言</t>
        </is>
      </c>
      <c r="E277" s="9" t="inlineStr">
        <is>
          <t>分譲会社：ペンブローグ（A-p19・KEN）／ペンブローク・リアルエステート・ジャパン エルエルシー（三井住友トラスト不動産ライブラリ）。物件情報.md⑤の採用候補（ペンブローク）を入力。リノベーション後の区分販売の売主は未確認</t>
        </is>
      </c>
    </row>
    <row r="278">
      <c r="A278" s="9" t="inlineStr">
        <is>
          <t>12</t>
        </is>
      </c>
      <c r="B278" s="9" t="inlineStr">
        <is>
          <t>HIKAWA GARDENS AKASAKA</t>
        </is>
      </c>
      <c r="C278" s="9" t="inlineStr">
        <is>
          <t>1階</t>
        </is>
      </c>
      <c r="D278" s="9" t="inlineStr">
        <is>
          <t>文言</t>
        </is>
      </c>
      <c r="E278" s="9" t="inlineStr">
        <is>
          <t>地下階数：地下2階（図面 A-p18・A-p19）／地下1階（三井住友トラスト不動産ライブラリ）。図面値を入力</t>
        </is>
      </c>
    </row>
    <row r="279">
      <c r="A279" s="9" t="inlineStr">
        <is>
          <t>12</t>
        </is>
      </c>
      <c r="B279" s="9" t="inlineStr">
        <is>
          <t>HIKAWA GARDENS AKASAKA</t>
        </is>
      </c>
      <c r="C279" s="9" t="inlineStr">
        <is>
          <t>1階</t>
        </is>
      </c>
      <c r="D279" s="9" t="inlineStr">
        <is>
          <t>文言</t>
        </is>
      </c>
      <c r="E279" s="9" t="inlineStr">
        <is>
          <t>築年月：2002年8月（図面）／2002年7月（三井の賃貸・恵比寿不動産等）。図面値を入力</t>
        </is>
      </c>
    </row>
    <row r="280">
      <c r="A280" s="9" t="inlineStr">
        <is>
          <t>12</t>
        </is>
      </c>
      <c r="B280" s="9" t="inlineStr">
        <is>
          <t>HIKAWA GARDENS AKASAKA</t>
        </is>
      </c>
      <c r="C280" s="9" t="inlineStr">
        <is>
          <t>1階</t>
        </is>
      </c>
      <c r="D280" s="9" t="inlineStr">
        <is>
          <t>文言</t>
        </is>
      </c>
      <c r="E280" s="9" t="inlineStr">
        <is>
          <t>向き（南）・角部屋：図面に記載なし。元付KENの住戸ページ記載を入力し、コメントには使っていない</t>
        </is>
      </c>
    </row>
    <row r="281">
      <c r="A281" s="9" t="inlineStr">
        <is>
          <t>12</t>
        </is>
      </c>
      <c r="B281" s="9" t="inlineStr">
        <is>
          <t>HIKAWA GARDENS AKASAKA</t>
        </is>
      </c>
      <c r="C281" s="9" t="inlineStr">
        <is>
          <t>1階</t>
        </is>
      </c>
      <c r="D281" s="9" t="inlineStr">
        <is>
          <t>文言</t>
        </is>
      </c>
      <c r="E281" s="9" t="inlineStr">
        <is>
          <t>バルコニー35.05㎡：図面は「バルコニー面積」、平面図は Terrace×2。21Cloudでテラス欄（terraceMenseki）に入れるかバルコニー欄に入れるか確認。使用料は未確認</t>
        </is>
      </c>
    </row>
    <row r="282">
      <c r="A282" s="9" t="inlineStr">
        <is>
          <t>12</t>
        </is>
      </c>
      <c r="B282" s="9" t="inlineStr">
        <is>
          <t>HIKAWA GARDENS AKASAKA</t>
        </is>
      </c>
      <c r="C282" s="9" t="inlineStr">
        <is>
          <t>1階</t>
        </is>
      </c>
      <c r="D282" s="9" t="inlineStr">
        <is>
          <t>文言</t>
        </is>
      </c>
      <c r="E282" s="9" t="inlineStr">
        <is>
          <t>リノベーション：図面は「一棟リノベーション（平成30年10月）」。住戸内の改修内容・時期は図面・元付HPで未確認のため、「リフォーム済」は付けていない</t>
        </is>
      </c>
    </row>
    <row r="283">
      <c r="A283" s="9" t="inlineStr">
        <is>
          <t>12</t>
        </is>
      </c>
      <c r="B283" s="9" t="inlineStr">
        <is>
          <t>HIKAWA GARDENS AKASAKA</t>
        </is>
      </c>
      <c r="C283" s="9" t="inlineStr">
        <is>
          <t>1階</t>
        </is>
      </c>
      <c r="D283" s="9" t="inlineStr">
        <is>
          <t>文言</t>
        </is>
      </c>
      <c r="E283" s="9" t="inlineStr">
        <is>
          <t>許可済み画像のうち KEN 由来13枚（室内4・共用部9）は「Ken Corporation Ltd.」の透かし入り→差替要。室内写真は居住中の家財が写っている（一部ぼかし）。寝室・浴室・洗面・トイレ・テラス・眺望の写真はなく、元付に追加提供を依頼するか内覧時の撮影が必要</t>
        </is>
      </c>
    </row>
    <row r="284">
      <c r="A284" s="9" t="inlineStr">
        <is>
          <t>12</t>
        </is>
      </c>
      <c r="B284" s="9" t="inlineStr">
        <is>
          <t>HIKAWA GARDENS AKASAKA</t>
        </is>
      </c>
      <c r="C284" s="9" t="inlineStr">
        <is>
          <t>1階</t>
        </is>
      </c>
      <c r="D284" s="9" t="inlineStr">
        <is>
          <t>文言</t>
        </is>
      </c>
      <c r="E284" s="9" t="inlineStr">
        <is>
          <t>管理体制：図面は日勤。KEN住戸ページの特徴アイコンに「コンシェルジュ」があるが現在の体制は未確認のため、コメント・設備チェックに入れていない</t>
        </is>
      </c>
    </row>
    <row r="285">
      <c r="A285" s="9" t="inlineStr">
        <is>
          <t>12</t>
        </is>
      </c>
      <c r="B285" s="9" t="inlineStr">
        <is>
          <t>HIKAWA GARDENS AKASAKA</t>
        </is>
      </c>
      <c r="C285" s="9" t="inlineStr">
        <is>
          <t>1階</t>
        </is>
      </c>
      <c r="D285" s="9" t="inlineStr">
        <is>
          <t>文言</t>
        </is>
      </c>
      <c r="E285" s="9" t="inlineStr">
        <is>
          <t>ペット可否は未確認のため設備チェック・コメントとも未入力。耐震・天井高・二重床、大規模修繕の時期も未確認</t>
        </is>
      </c>
    </row>
    <row r="286">
      <c r="A286" s="9" t="inlineStr">
        <is>
          <t>12</t>
        </is>
      </c>
      <c r="B286" s="9" t="inlineStr">
        <is>
          <t>HIKAWA GARDENS AKASAKA</t>
        </is>
      </c>
      <c r="C286" s="9" t="inlineStr">
        <is>
          <t>1階</t>
        </is>
      </c>
      <c r="D286" s="9" t="inlineStr">
        <is>
          <t>文言</t>
        </is>
      </c>
      <c r="E286" s="9" t="inlineStr">
        <is>
          <t>重要事項説明向け：国土地理院のタイルで、土砂災害警戒区域（急傾斜地）の表示が街区の代表点の西約4mにある。敷地が区域内かは未確認</t>
        </is>
      </c>
    </row>
    <row r="287">
      <c r="A287" s="9" t="inlineStr">
        <is>
          <t>12</t>
        </is>
      </c>
      <c r="B287" s="9" t="inlineStr">
        <is>
          <t>HIKAWA GARDENS AKASAKA</t>
        </is>
      </c>
      <c r="C287" s="9" t="inlineStr">
        <is>
          <t>1階</t>
        </is>
      </c>
      <c r="D287" s="9" t="inlineStr">
        <is>
          <t>推測入力</t>
        </is>
      </c>
      <c r="E287" s="9" t="inlineStr">
        <is>
          <t>画像カテゴリ：エントランスホール2枚は「ロビー(44)」、郵便受け・宅配ボックス、フィットネス、トランクルーム、駐輪場は「その他共用部分(19)」とした</t>
        </is>
      </c>
    </row>
    <row r="288">
      <c r="A288" s="9" t="inlineStr">
        <is>
          <t>12</t>
        </is>
      </c>
      <c r="B288" s="9" t="inlineStr">
        <is>
          <t>HIKAWA GARDENS AKASAKA</t>
        </is>
      </c>
      <c r="C288" s="9" t="inlineStr">
        <is>
          <t>1階</t>
        </is>
      </c>
      <c r="D288" s="9" t="inlineStr">
        <is>
          <t>推測入力</t>
        </is>
      </c>
      <c r="E288" s="9" t="inlineStr">
        <is>
          <t>画像 3〜5 のリビング写真の区別（LD全体・ダイニング側・リビング側）は写真の構図から判断</t>
        </is>
      </c>
    </row>
    <row r="289">
      <c r="A289" s="9" t="inlineStr">
        <is>
          <t>12</t>
        </is>
      </c>
      <c r="B289" s="9" t="inlineStr">
        <is>
          <t>HIKAWA GARDENS AKASAKA</t>
        </is>
      </c>
      <c r="C289" s="9" t="inlineStr">
        <is>
          <t>1階</t>
        </is>
      </c>
      <c r="D289" s="9" t="inlineStr">
        <is>
          <t>推測入力</t>
        </is>
      </c>
      <c r="E289" s="9" t="inlineStr">
        <is>
          <t>設備チェック「閑静な住宅地・緑豊か」：KEN建物ページの「氷川神社や檜町公園の緑に囲まれ」と図面 A-p19 の記載から選択</t>
        </is>
      </c>
    </row>
    <row r="290">
      <c r="A290" s="9" t="inlineStr">
        <is>
          <t>12</t>
        </is>
      </c>
      <c r="B290" s="9" t="inlineStr">
        <is>
          <t>HIKAWA GARDENS AKASAKA</t>
        </is>
      </c>
      <c r="C290" s="9" t="inlineStr">
        <is>
          <t>1階</t>
        </is>
      </c>
      <c r="D290" s="9" t="inlineStr">
        <is>
          <t>推測入力</t>
        </is>
      </c>
      <c r="E290" s="9" t="inlineStr">
        <is>
          <t>コメントの生活イメージ表現（朝の支度が重ならない、テラスを屋外の居場所に 等）は浴室2か所・テラス2か所の事実から作文</t>
        </is>
      </c>
    </row>
    <row r="291">
      <c r="A291" s="9" t="inlineStr">
        <is>
          <t>12</t>
        </is>
      </c>
      <c r="B291" s="9" t="inlineStr">
        <is>
          <t>HIKAWA GARDENS AKASAKA</t>
        </is>
      </c>
      <c r="C291" s="9" t="inlineStr">
        <is>
          <t>1階</t>
        </is>
      </c>
      <c r="D291" s="9" t="inlineStr">
        <is>
          <t>推測入力</t>
        </is>
      </c>
      <c r="E291" s="9" t="inlineStr">
        <is>
          <t>画像コメントの「機械式ではないため出し入れがしやすく」は図面の「屋内平置き」と写真から判断した表現。外観写真の「秋には木々が色づき」は写真の紅葉から作文</t>
        </is>
      </c>
    </row>
    <row r="292">
      <c r="A292" s="9" t="inlineStr">
        <is>
          <t>13</t>
        </is>
      </c>
      <c r="B292" s="9" t="inlineStr">
        <is>
          <t>虎ノ門ヒルズ レジデンシャルタワー</t>
        </is>
      </c>
      <c r="C292" s="9" t="inlineStr">
        <is>
          <t>29階</t>
        </is>
      </c>
      <c r="D292" s="9" t="inlineStr">
        <is>
          <t>文言</t>
        </is>
      </c>
      <c r="E292" s="9" t="inlineStr">
        <is>
          <t>図面の広告可否表記は「記載なし」（取引態様：媒介）。依頼者指示により承諾取得済として作成。</t>
        </is>
      </c>
    </row>
    <row r="293">
      <c r="A293" s="9" t="inlineStr">
        <is>
          <t>13</t>
        </is>
      </c>
      <c r="B293" s="9" t="inlineStr">
        <is>
          <t>虎ノ門ヒルズ レジデンシャルタワー</t>
        </is>
      </c>
      <c r="C293" s="9" t="inlineStr">
        <is>
          <t>29階</t>
        </is>
      </c>
      <c r="D293" s="9" t="inlineStr">
        <is>
          <t>文言</t>
        </is>
      </c>
      <c r="E293" s="9" t="inlineStr">
        <is>
          <t>管理員の勤務形態：常勤（図面 A-p20・KEN住戸）／日勤（マンションレビュー・mitaina）・通勤（SUUMOライブラリー）。図面の「常勤」を入力。</t>
        </is>
      </c>
    </row>
    <row r="294">
      <c r="A294" s="9" t="inlineStr">
        <is>
          <t>13</t>
        </is>
      </c>
      <c r="B294" s="9" t="inlineStr">
        <is>
          <t>虎ノ門ヒルズ レジデンシャルタワー</t>
        </is>
      </c>
      <c r="C294" s="9" t="inlineStr">
        <is>
          <t>29階</t>
        </is>
      </c>
      <c r="D294" s="9" t="inlineStr">
        <is>
          <t>文言</t>
        </is>
      </c>
      <c r="E294" s="9" t="inlineStr">
        <is>
          <t>構造：鉄筋コンクリート造（図面・KEN）／RC造（一部S造・SRC造）（森ビル竣工PR）。⑤採用候補の「RC造（一部S造・SRC造）」を入力。21Cloudの選択肢がRC/SRCのみなら図面どおりRCを選ぶ。</t>
        </is>
      </c>
    </row>
    <row r="295">
      <c r="A295" s="9" t="inlineStr">
        <is>
          <t>13</t>
        </is>
      </c>
      <c r="B295" s="9" t="inlineStr">
        <is>
          <t>虎ノ門ヒルズ レジデンシャルタワー</t>
        </is>
      </c>
      <c r="C295" s="9" t="inlineStr">
        <is>
          <t>29階</t>
        </is>
      </c>
      <c r="D295" s="9" t="inlineStr">
        <is>
          <t>文言</t>
        </is>
      </c>
      <c r="E295" s="9" t="inlineStr">
        <is>
          <t>用途地域：商業地域（図面）／商業地域・第二種住居地域（MR・mitaina・SUUMOライブラリー）。図面の商業地域を入力。</t>
        </is>
      </c>
    </row>
    <row r="296">
      <c r="A296" s="9" t="inlineStr">
        <is>
          <t>13</t>
        </is>
      </c>
      <c r="B296" s="9" t="inlineStr">
        <is>
          <t>虎ノ門ヒルズ レジデンシャルタワー</t>
        </is>
      </c>
      <c r="C296" s="9" t="inlineStr">
        <is>
          <t>29階</t>
        </is>
      </c>
      <c r="D296" s="9" t="inlineStr">
        <is>
          <t>文言</t>
        </is>
      </c>
      <c r="E296" s="9" t="inlineStr">
        <is>
          <t>小学校区：御成門小学校（KEN）／中央区立泰明小学校（SUUMOライブラリー）。御成門小を入力（港区で要確認）。</t>
        </is>
      </c>
    </row>
    <row r="297">
      <c r="A297" s="9" t="inlineStr">
        <is>
          <t>13</t>
        </is>
      </c>
      <c r="B297" s="9" t="inlineStr">
        <is>
          <t>虎ノ門ヒルズ レジデンシャルタワー</t>
        </is>
      </c>
      <c r="C297" s="9" t="inlineStr">
        <is>
          <t>29階</t>
        </is>
      </c>
      <c r="D297" s="9" t="inlineStr">
        <is>
          <t>文言</t>
        </is>
      </c>
      <c r="E297" s="9" t="inlineStr">
        <is>
          <t>駐車場：図面は空欄。自走81台＋機械式200台（MS記事）／機械式200台・自走82台（MR）。「あり（空き・料金要確認）」で入力、料金は未入力。</t>
        </is>
      </c>
    </row>
    <row r="298">
      <c r="A298" s="9" t="inlineStr">
        <is>
          <t>13</t>
        </is>
      </c>
      <c r="B298" s="9" t="inlineStr">
        <is>
          <t>虎ノ門ヒルズ レジデンシャルタワー</t>
        </is>
      </c>
      <c r="C298" s="9" t="inlineStr">
        <is>
          <t>29階</t>
        </is>
      </c>
      <c r="D298" s="9" t="inlineStr">
        <is>
          <t>文言</t>
        </is>
      </c>
      <c r="E298" s="9" t="inlineStr">
        <is>
          <t>トランクルーム：図面空欄。15区画（MR）の記載はあるが本住戸の付帯は未確認。</t>
        </is>
      </c>
    </row>
    <row r="299">
      <c r="A299" s="9" t="inlineStr">
        <is>
          <t>13</t>
        </is>
      </c>
      <c r="B299" s="9" t="inlineStr">
        <is>
          <t>虎ノ門ヒルズ レジデンシャルタワー</t>
        </is>
      </c>
      <c r="C299" s="9" t="inlineStr">
        <is>
          <t>29階</t>
        </is>
      </c>
      <c r="D299" s="9" t="inlineStr">
        <is>
          <t>文言</t>
        </is>
      </c>
      <c r="E299" s="9" t="inlineStr">
        <is>
          <t>総戸数547戸にサービスアパートメント160戸を含むか：森ビル竣工PR（547戸＋SA160戸と読める）／TOKYO RENT（547戸に含む）。図面の547戸を入力。</t>
        </is>
      </c>
    </row>
    <row r="300">
      <c r="A300" s="9" t="inlineStr">
        <is>
          <t>13</t>
        </is>
      </c>
      <c r="B300" s="9" t="inlineStr">
        <is>
          <t>虎ノ門ヒルズ レジデンシャルタワー</t>
        </is>
      </c>
      <c r="C300" s="9" t="inlineStr">
        <is>
          <t>29階</t>
        </is>
      </c>
      <c r="D300" s="9" t="inlineStr">
        <is>
          <t>文言</t>
        </is>
      </c>
      <c r="E300" s="9" t="inlineStr">
        <is>
          <t>敷地面積：5,988.37㎡（図面・登記簿）／約6,535㎡（森ビル竣工PR）。図面値を入力。</t>
        </is>
      </c>
    </row>
    <row r="301">
      <c r="A301" s="9" t="inlineStr">
        <is>
          <t>13</t>
        </is>
      </c>
      <c r="B301" s="9" t="inlineStr">
        <is>
          <t>虎ノ門ヒルズ レジデンシャルタワー</t>
        </is>
      </c>
      <c r="C301" s="9" t="inlineStr">
        <is>
          <t>29階</t>
        </is>
      </c>
      <c r="D301" s="9" t="inlineStr">
        <is>
          <t>文言</t>
        </is>
      </c>
      <c r="E301" s="9" t="inlineStr">
        <is>
          <t>日本料理店の所在：図面「店舗棟：1階」／森ビル竣工PR「レジデンシャルタワー内に併設」。コメントは「建物内に日本料理店などの店舗」と記載。</t>
        </is>
      </c>
    </row>
    <row r="302">
      <c r="A302" s="9" t="inlineStr">
        <is>
          <t>13</t>
        </is>
      </c>
      <c r="B302" s="9" t="inlineStr">
        <is>
          <t>虎ノ門ヒルズ レジデンシャルタワー</t>
        </is>
      </c>
      <c r="C302" s="9" t="inlineStr">
        <is>
          <t>29階</t>
        </is>
      </c>
      <c r="D302" s="9" t="inlineStr">
        <is>
          <t>文言</t>
        </is>
      </c>
      <c r="E302" s="9" t="inlineStr">
        <is>
          <t>許可済み画像はすべてKEN（元付）撮影で「Ken Corporation Ltd.」の透かし入り。透かし無しの原画を元付に依頼するか、このまま使うか判断が必要（comment20に「（透かし有・差替要）」を付けた。登録時はこの注記を消す）。</t>
        </is>
      </c>
    </row>
    <row r="303">
      <c r="A303" s="9" t="inlineStr">
        <is>
          <t>13</t>
        </is>
      </c>
      <c r="B303" s="9" t="inlineStr">
        <is>
          <t>虎ノ門ヒルズ レジデンシャルタワー</t>
        </is>
      </c>
      <c r="C303" s="9" t="inlineStr">
        <is>
          <t>29階</t>
        </is>
      </c>
      <c r="D303" s="9" t="inlineStr">
        <is>
          <t>文言</t>
        </is>
      </c>
      <c r="E303" s="9" t="inlineStr">
        <is>
          <t>写真01_リビングは家具がCG（KENのキャプション「※家具等はCGです」）。comment に（ＣＧ）と明記して後ろの順番に置いた。使わない場合は外す。03〜05リビングは家具なしだが、実写かCG加工かはKENに明記なし。</t>
        </is>
      </c>
    </row>
    <row r="304">
      <c r="A304" s="9" t="inlineStr">
        <is>
          <t>13</t>
        </is>
      </c>
      <c r="B304" s="9" t="inlineStr">
        <is>
          <t>虎ノ門ヒルズ レジデンシャルタワー</t>
        </is>
      </c>
      <c r="C304" s="9" t="inlineStr">
        <is>
          <t>29階</t>
        </is>
      </c>
      <c r="D304" s="9" t="inlineStr">
        <is>
          <t>文言</t>
        </is>
      </c>
      <c r="E304" s="9" t="inlineStr">
        <is>
          <t>共用部05_スカイスイート専用フロント・14_スカイサロンはスカイスイート（43〜54階）専用で、29階住戸は使えないため掲載から外した（images_excluded）。</t>
        </is>
      </c>
    </row>
    <row r="305">
      <c r="A305" s="9" t="inlineStr">
        <is>
          <t>13</t>
        </is>
      </c>
      <c r="B305" s="9" t="inlineStr">
        <is>
          <t>虎ノ門ヒルズ レジデンシャルタワー</t>
        </is>
      </c>
      <c r="C305" s="9" t="inlineStr">
        <is>
          <t>29階</t>
        </is>
      </c>
      <c r="D305" s="9" t="inlineStr">
        <is>
          <t>文言</t>
        </is>
      </c>
      <c r="E305" s="9" t="inlineStr">
        <is>
          <t>共用部02_外観_航空写真はクレーンが写っており撮影時期が古い（ステーションタワー建設中）。その他（周辺）として最後に置いた。</t>
        </is>
      </c>
    </row>
    <row r="306">
      <c r="A306" s="9" t="inlineStr">
        <is>
          <t>13</t>
        </is>
      </c>
      <c r="B306" s="9" t="inlineStr">
        <is>
          <t>虎ノ門ヒルズ レジデンシャルタワー</t>
        </is>
      </c>
      <c r="C306" s="9" t="inlineStr">
        <is>
          <t>29階</t>
        </is>
      </c>
      <c r="D306" s="9" t="inlineStr">
        <is>
          <t>文言</t>
        </is>
      </c>
      <c r="E306" s="9" t="inlineStr">
        <is>
          <t>ハザード：重ねるハザードマップで想定最大規模の洪水浸水表示あり（深さは港区マップで要確認）。広告文には書いていない。重説で要確認。</t>
        </is>
      </c>
    </row>
    <row r="307">
      <c r="A307" s="9" t="inlineStr">
        <is>
          <t>13</t>
        </is>
      </c>
      <c r="B307" s="9" t="inlineStr">
        <is>
          <t>虎ノ門ヒルズ レジデンシャルタワー</t>
        </is>
      </c>
      <c r="C307" s="9" t="inlineStr">
        <is>
          <t>29階</t>
        </is>
      </c>
      <c r="D307" s="9" t="inlineStr">
        <is>
          <t>推測入力</t>
        </is>
      </c>
      <c r="E307" s="9" t="inlineStr">
        <is>
          <t>設備チェック「防犯カメラ」：図面の「4重セキュリティ」と24時間有人フロントから推測。</t>
        </is>
      </c>
    </row>
    <row r="308">
      <c r="A308" s="9" t="inlineStr">
        <is>
          <t>13</t>
        </is>
      </c>
      <c r="B308" s="9" t="inlineStr">
        <is>
          <t>虎ノ門ヒルズ レジデンシャルタワー</t>
        </is>
      </c>
      <c r="C308" s="9" t="inlineStr">
        <is>
          <t>29階</t>
        </is>
      </c>
      <c r="D308" s="9" t="inlineStr">
        <is>
          <t>推測入力</t>
        </is>
      </c>
      <c r="E308" s="9" t="inlineStr">
        <is>
          <t>設備チェック「全面フローリング」「システムキッチン」「3口以上コンロ」：KEN住戸の設備欄と写真（07キッチン・居室）を根拠に選択。</t>
        </is>
      </c>
    </row>
    <row r="309">
      <c r="A309" s="9" t="inlineStr">
        <is>
          <t>13</t>
        </is>
      </c>
      <c r="B309" s="9" t="inlineStr">
        <is>
          <t>虎ノ門ヒルズ レジデンシャルタワー</t>
        </is>
      </c>
      <c r="C309" s="9" t="inlineStr">
        <is>
          <t>29階</t>
        </is>
      </c>
      <c r="D309" s="9" t="inlineStr">
        <is>
          <t>推測入力</t>
        </is>
      </c>
      <c r="E309" s="9" t="inlineStr">
        <is>
          <t>コメントの表現（「家族と来客の動線を分けられる」「夜は周辺タワーの灯り」等）は間取図・夜景写真からの表現上の推測。</t>
        </is>
      </c>
    </row>
    <row r="310">
      <c r="A310" s="9" t="inlineStr">
        <is>
          <t>13</t>
        </is>
      </c>
      <c r="B310" s="9" t="inlineStr">
        <is>
          <t>虎ノ門ヒルズ レジデンシャルタワー</t>
        </is>
      </c>
      <c r="C310" s="9" t="inlineStr">
        <is>
          <t>29階</t>
        </is>
      </c>
      <c r="D310" s="9" t="inlineStr">
        <is>
          <t>推測入力</t>
        </is>
      </c>
      <c r="E310" s="9" t="inlineStr">
        <is>
          <t>画像カテゴリ：Bedroom（約7.9帖）は「洋室」、Master Bedroomは「寝室」、フロント・ギャラリーは「ロビー」、スパ・ライブラリー等は「その他共用部分」、航空写真は「その他」を選択。</t>
        </is>
      </c>
    </row>
    <row r="311">
      <c r="A311" s="9" t="inlineStr">
        <is>
          <t>14</t>
        </is>
      </c>
      <c r="B311" s="9" t="inlineStr">
        <is>
          <t>リビオタワー品川</t>
        </is>
      </c>
      <c r="C311" s="9" t="inlineStr">
        <is>
          <t>34階</t>
        </is>
      </c>
      <c r="D311" s="9" t="inlineStr">
        <is>
          <t>文言</t>
        </is>
      </c>
      <c r="E311" s="9" t="inlineStr">
        <is>
          <t>価格：63,500万円（図面 B-p01・ウィル・モダンスタンダード・マンションレビュー）／68,000万円（元付アンドデザインHP）。図面の63,500万円で作成。元付HPが旧価格のままか元付に確認。</t>
        </is>
      </c>
    </row>
    <row r="312">
      <c r="A312" s="9" t="inlineStr">
        <is>
          <t>14</t>
        </is>
      </c>
      <c r="B312" s="9" t="inlineStr">
        <is>
          <t>リビオタワー品川</t>
        </is>
      </c>
      <c r="C312" s="9" t="inlineStr">
        <is>
          <t>34階</t>
        </is>
      </c>
      <c r="D312" s="9" t="inlineStr">
        <is>
          <t>文言</t>
        </is>
      </c>
      <c r="E312" s="9" t="inlineStr">
        <is>
          <t>築年月：図面「2026年5月竣工予定」／SUUMO売主広告「2026年5月11日竣工」（竣工済み）。⑤採用候補どおり「2026年5月」で入力（「予定」は付けない）。</t>
        </is>
      </c>
    </row>
    <row r="313">
      <c r="A313" s="9" t="inlineStr">
        <is>
          <t>14</t>
        </is>
      </c>
      <c r="B313" s="9" t="inlineStr">
        <is>
          <t>リビオタワー品川</t>
        </is>
      </c>
      <c r="C313" s="9" t="inlineStr">
        <is>
          <t>34階</t>
        </is>
      </c>
      <c r="D313" s="9" t="inlineStr">
        <is>
          <t>文言</t>
        </is>
      </c>
      <c r="E313" s="9" t="inlineStr">
        <is>
          <t>取引態様：売主代理・手数料1.5%税込（図面）／仲介（元付HP・ウィル・モダンスタンダード）。図面の「売主代理」で入力。</t>
        </is>
      </c>
    </row>
    <row r="314">
      <c r="A314" s="9" t="inlineStr">
        <is>
          <t>14</t>
        </is>
      </c>
      <c r="B314" s="9" t="inlineStr">
        <is>
          <t>リビオタワー品川</t>
        </is>
      </c>
      <c r="C314" s="9" t="inlineStr">
        <is>
          <t>34階</t>
        </is>
      </c>
      <c r="D314" s="9" t="inlineStr">
        <is>
          <t>文言</t>
        </is>
      </c>
      <c r="E314" s="9" t="inlineStr">
        <is>
          <t>その他月額費用：10,648円（図面）／規約附表の内訳合計10,450円（トランクルーム5,840円＋インターネット2,288円＋シャトルバス運営費2,322円）。198円差の理由は未確認。図面値を入力。</t>
        </is>
      </c>
    </row>
    <row r="315">
      <c r="A315" s="9" t="inlineStr">
        <is>
          <t>14</t>
        </is>
      </c>
      <c r="B315" s="9" t="inlineStr">
        <is>
          <t>リビオタワー品川</t>
        </is>
      </c>
      <c r="C315" s="9" t="inlineStr">
        <is>
          <t>34階</t>
        </is>
      </c>
      <c r="D315" s="9" t="inlineStr">
        <is>
          <t>文言</t>
        </is>
      </c>
      <c r="E315" s="9" t="inlineStr">
        <is>
          <t>向き：北東角（元付間取図の方位記号から判読、⑤採用候補）／東（ウィル・モダンスタンダード・マンションレビュー）。21Cloudの向きは「北東」で入力、要確認。</t>
        </is>
      </c>
    </row>
    <row r="316">
      <c r="A316" s="9" t="inlineStr">
        <is>
          <t>14</t>
        </is>
      </c>
      <c r="B316" s="9" t="inlineStr">
        <is>
          <t>リビオタワー品川</t>
        </is>
      </c>
      <c r="C316" s="9" t="inlineStr">
        <is>
          <t>34階</t>
        </is>
      </c>
      <c r="D316" s="9" t="inlineStr">
        <is>
          <t>文言</t>
        </is>
      </c>
      <c r="E316" s="9" t="inlineStr">
        <is>
          <t>間取り表記：3LDK+3WIC（図面）／3LDK+3WIC+SIC（元付HP）／3LDK+3WIC+SIC+N+TR（間取図）。</t>
        </is>
      </c>
    </row>
    <row r="317">
      <c r="A317" s="9" t="inlineStr">
        <is>
          <t>14</t>
        </is>
      </c>
      <c r="B317" s="9" t="inlineStr">
        <is>
          <t>リビオタワー品川</t>
        </is>
      </c>
      <c r="C317" s="9" t="inlineStr">
        <is>
          <t>34階</t>
        </is>
      </c>
      <c r="D317" s="9" t="inlineStr">
        <is>
          <t>文言</t>
        </is>
      </c>
      <c r="E317" s="9" t="inlineStr">
        <is>
          <t>管理会社名：図面は旧社名「株式会社日鉄コミュニティ」。2026年1月5日に「日鉄興和不動産コミュニティ株式会社」へ商号変更。新社名で入力。</t>
        </is>
      </c>
    </row>
    <row r="318">
      <c r="A318" s="9" t="inlineStr">
        <is>
          <t>14</t>
        </is>
      </c>
      <c r="B318" s="9" t="inlineStr">
        <is>
          <t>リビオタワー品川</t>
        </is>
      </c>
      <c r="C318" s="9" t="inlineStr">
        <is>
          <t>34階</t>
        </is>
      </c>
      <c r="D318" s="9" t="inlineStr">
        <is>
          <t>文言</t>
        </is>
      </c>
      <c r="E318" s="9" t="inlineStr">
        <is>
          <t>管理員：図面「常駐」／公式「24時間有人管理」／東急リバブル「日勤」。「常駐（24時間有人管理）」で入力。</t>
        </is>
      </c>
    </row>
    <row r="319">
      <c r="A319" s="9" t="inlineStr">
        <is>
          <t>14</t>
        </is>
      </c>
      <c r="B319" s="9" t="inlineStr">
        <is>
          <t>リビオタワー品川</t>
        </is>
      </c>
      <c r="C319" s="9" t="inlineStr">
        <is>
          <t>34階</t>
        </is>
      </c>
      <c r="D319" s="9" t="inlineStr">
        <is>
          <t>文言</t>
        </is>
      </c>
      <c r="E319" s="9" t="inlineStr">
        <is>
          <t>所在地：図面の「港南三丁目7番2」は地番（公式が地番と明記）。住居表示は未確認（参考：港南3-4、第三者サイト）。</t>
        </is>
      </c>
    </row>
    <row r="320">
      <c r="A320" s="9" t="inlineStr">
        <is>
          <t>14</t>
        </is>
      </c>
      <c r="B320" s="9" t="inlineStr">
        <is>
          <t>リビオタワー品川</t>
        </is>
      </c>
      <c r="C320" s="9" t="inlineStr">
        <is>
          <t>34階</t>
        </is>
      </c>
      <c r="D320" s="9" t="inlineStr">
        <is>
          <t>文言</t>
        </is>
      </c>
      <c r="E320" s="9" t="inlineStr">
        <is>
          <t>専有面積の壁芯・内法の別は図面に記載なし。</t>
        </is>
      </c>
    </row>
    <row r="321">
      <c r="A321" s="9" t="inlineStr">
        <is>
          <t>14</t>
        </is>
      </c>
      <c r="B321" s="9" t="inlineStr">
        <is>
          <t>リビオタワー品川</t>
        </is>
      </c>
      <c r="C321" s="9" t="inlineStr">
        <is>
          <t>34階</t>
        </is>
      </c>
      <c r="D321" s="9" t="inlineStr">
        <is>
          <t>文言</t>
        </is>
      </c>
      <c r="E321" s="9" t="inlineStr">
        <is>
          <t>現売主：分譲時の売主は5社JV。本住戸の現在の売主（転売の場合の属性）は未確認。図面に「司法書士売主指定」の記載あり。</t>
        </is>
      </c>
    </row>
    <row r="322">
      <c r="A322" s="9" t="inlineStr">
        <is>
          <t>14</t>
        </is>
      </c>
      <c r="B322" s="9" t="inlineStr">
        <is>
          <t>リビオタワー品川</t>
        </is>
      </c>
      <c r="C322" s="9" t="inlineStr">
        <is>
          <t>34階</t>
        </is>
      </c>
      <c r="D322" s="9" t="inlineStr">
        <is>
          <t>文言</t>
        </is>
      </c>
      <c r="E322" s="9" t="inlineStr">
        <is>
          <t>購入時一時金（修繕積立一時金1,302,400円・管理準備金52,090円、分譲時の附表値）が本取引で発生するか未確認。</t>
        </is>
      </c>
    </row>
    <row r="323">
      <c r="A323" s="9" t="inlineStr">
        <is>
          <t>14</t>
        </is>
      </c>
      <c r="B323" s="9" t="inlineStr">
        <is>
          <t>リビオタワー品川</t>
        </is>
      </c>
      <c r="C323" s="9" t="inlineStr">
        <is>
          <t>34階</t>
        </is>
      </c>
      <c r="D323" s="9" t="inlineStr">
        <is>
          <t>文言</t>
        </is>
      </c>
      <c r="E323" s="9" t="inlineStr">
        <is>
          <t>図面上の広告掲載表記：「可（但し要連絡）」。掲載前に元付（アンドデザイン）へ連絡が必要。</t>
        </is>
      </c>
    </row>
    <row r="324">
      <c r="A324" s="9" t="inlineStr">
        <is>
          <t>14</t>
        </is>
      </c>
      <c r="B324" s="9" t="inlineStr">
        <is>
          <t>リビオタワー品川</t>
        </is>
      </c>
      <c r="C324" s="9" t="inlineStr">
        <is>
          <t>34階</t>
        </is>
      </c>
      <c r="D324" s="9" t="inlineStr">
        <is>
          <t>文言</t>
        </is>
      </c>
      <c r="E324" s="9" t="inlineStr">
        <is>
          <t>間取図（元付HP floorplan.jpg）は「社内資料・2024年11月2日の計画段階」の表記と、全住戸の配置表が入っている。掲載時は間取り部分だけにトリミングするか、元付に使用可否を確認。</t>
        </is>
      </c>
    </row>
    <row r="325">
      <c r="A325" s="9" t="inlineStr">
        <is>
          <t>14</t>
        </is>
      </c>
      <c r="B325" s="9" t="inlineStr">
        <is>
          <t>リビオタワー品川</t>
        </is>
      </c>
      <c r="C325" s="9" t="inlineStr">
        <is>
          <t>34階</t>
        </is>
      </c>
      <c r="D325" s="9" t="inlineStr">
        <is>
          <t>文言</t>
        </is>
      </c>
      <c r="E325" s="9" t="inlineStr">
        <is>
          <t>写真04_眺望2と05_眺望3はほぼ同じ構図（解像度違い）。両方入れているので、枚数を絞る場合は05を外す。</t>
        </is>
      </c>
    </row>
    <row r="326">
      <c r="A326" s="9" t="inlineStr">
        <is>
          <t>14</t>
        </is>
      </c>
      <c r="B326" s="9" t="inlineStr">
        <is>
          <t>リビオタワー品川</t>
        </is>
      </c>
      <c r="C326" s="9" t="inlineStr">
        <is>
          <t>34階</t>
        </is>
      </c>
      <c r="D326" s="9" t="inlineStr">
        <is>
          <t>文言</t>
        </is>
      </c>
      <c r="E326" s="9" t="inlineStr">
        <is>
          <t>共用部13_大階段・14_吹抜け・16_スカイラウンジ・17_スカイラウンジ眺望に人物が写っている（後ろ姿・小さく）。気になる場合は外すかぼかし。05_エントランスには内覧会の花が写っている。</t>
        </is>
      </c>
    </row>
    <row r="327">
      <c r="A327" s="9" t="inlineStr">
        <is>
          <t>14</t>
        </is>
      </c>
      <c r="B327" s="9" t="inlineStr">
        <is>
          <t>リビオタワー品川</t>
        </is>
      </c>
      <c r="C327" s="9" t="inlineStr">
        <is>
          <t>34階</t>
        </is>
      </c>
      <c r="D327" s="9" t="inlineStr">
        <is>
          <t>文言</t>
        </is>
      </c>
      <c r="E327" s="9" t="inlineStr">
        <is>
          <t>共用部27_外観夜景CGは完成予想CGのため掲載から外した（images_excluded）。34階/_除外_該当住戸外/ の眺望イメージ2枚も対象外。</t>
        </is>
      </c>
    </row>
    <row r="328">
      <c r="A328" s="9" t="inlineStr">
        <is>
          <t>14</t>
        </is>
      </c>
      <c r="B328" s="9" t="inlineStr">
        <is>
          <t>リビオタワー品川</t>
        </is>
      </c>
      <c r="C328" s="9" t="inlineStr">
        <is>
          <t>34階</t>
        </is>
      </c>
      <c r="D328" s="9" t="inlineStr">
        <is>
          <t>文言</t>
        </is>
      </c>
      <c r="E328" s="9" t="inlineStr">
        <is>
          <t>室内の浴室・洗面・トイレ・玄関・洋室・WICは静止画がない（元付HPの360°ツアーのみ）。元付に静止画の提供を依頼するとよい。</t>
        </is>
      </c>
    </row>
    <row r="329">
      <c r="A329" s="9" t="inlineStr">
        <is>
          <t>14</t>
        </is>
      </c>
      <c r="B329" s="9" t="inlineStr">
        <is>
          <t>リビオタワー品川</t>
        </is>
      </c>
      <c r="C329" s="9" t="inlineStr">
        <is>
          <t>34階</t>
        </is>
      </c>
      <c r="D329" s="9" t="inlineStr">
        <is>
          <t>文言</t>
        </is>
      </c>
      <c r="E329" s="9" t="inlineStr">
        <is>
          <t>要許可の間取図（ウィル描き起こし）は「LDK約15.1帖」の表記が元付間取図（LD約25.5帖＋K約4.7帖）と合わない。使わないのが安全。</t>
        </is>
      </c>
    </row>
    <row r="330">
      <c r="A330" s="9" t="inlineStr">
        <is>
          <t>14</t>
        </is>
      </c>
      <c r="B330" s="9" t="inlineStr">
        <is>
          <t>リビオタワー品川</t>
        </is>
      </c>
      <c r="C330" s="9" t="inlineStr">
        <is>
          <t>34階</t>
        </is>
      </c>
      <c r="D330" s="9" t="inlineStr">
        <is>
          <t>文言</t>
        </is>
      </c>
      <c r="E330" s="9" t="inlineStr">
        <is>
          <t>ハザード：港区高潮浸水ハザードマップで港南三丁目の大部分が0.5m未満、液状化は区分未確認。広告文には書いていない。重説で要確認。</t>
        </is>
      </c>
    </row>
    <row r="331">
      <c r="A331" s="9" t="inlineStr">
        <is>
          <t>14</t>
        </is>
      </c>
      <c r="B331" s="9" t="inlineStr">
        <is>
          <t>リビオタワー品川</t>
        </is>
      </c>
      <c r="C331" s="9" t="inlineStr">
        <is>
          <t>34階</t>
        </is>
      </c>
      <c r="D331" s="9" t="inlineStr">
        <is>
          <t>推測入力</t>
        </is>
      </c>
      <c r="E331" s="9" t="inlineStr">
        <is>
          <t>設備チェック「システムキッチン」：キッチン写真（07〜10）の造作から推測。</t>
        </is>
      </c>
    </row>
    <row r="332">
      <c r="A332" s="9" t="inlineStr">
        <is>
          <t>14</t>
        </is>
      </c>
      <c r="B332" s="9" t="inlineStr">
        <is>
          <t>リビオタワー品川</t>
        </is>
      </c>
      <c r="C332" s="9" t="inlineStr">
        <is>
          <t>34階</t>
        </is>
      </c>
      <c r="D332" s="9" t="inlineStr">
        <is>
          <t>推測入力</t>
        </is>
      </c>
      <c r="E332" s="9" t="inlineStr">
        <is>
          <t>コメントの表現（「湾岸の夜景」「朝の光」「家族それぞれの個室」など）は眺望写真・間取図からの表現上の推測。</t>
        </is>
      </c>
    </row>
    <row r="333">
      <c r="A333" s="9" t="inlineStr">
        <is>
          <t>14</t>
        </is>
      </c>
      <c r="B333" s="9" t="inlineStr">
        <is>
          <t>リビオタワー品川</t>
        </is>
      </c>
      <c r="C333" s="9" t="inlineStr">
        <is>
          <t>34階</t>
        </is>
      </c>
      <c r="D333" s="9" t="inlineStr">
        <is>
          <t>推測入力</t>
        </is>
      </c>
      <c r="E333" s="9" t="inlineStr">
        <is>
          <t>画像カテゴリ：車寄せ・館銘板・エントランス夜景は「エントランス」、エントランスラウンジ・大階段・吹抜けは「ロビー」、その他の共用施設は「その他共用部分」を選択。</t>
        </is>
      </c>
    </row>
    <row r="334">
      <c r="A334" s="9" t="inlineStr">
        <is>
          <t>14</t>
        </is>
      </c>
      <c r="B334" s="9" t="inlineStr">
        <is>
          <t>リビオタワー品川</t>
        </is>
      </c>
      <c r="C334" s="9" t="inlineStr">
        <is>
          <t>34階</t>
        </is>
      </c>
      <c r="D334" s="9" t="inlineStr">
        <is>
          <t>推測入力</t>
        </is>
      </c>
      <c r="E334" s="9" t="inlineStr">
        <is>
          <t>写真18_ラウンジがどの階のラウンジか（2Fオーナーズラウンジ等）は特定できないため、コメントでは階を書いていない。</t>
        </is>
      </c>
    </row>
    <row r="335">
      <c r="A335" s="9" t="inlineStr">
        <is>
          <t>14</t>
        </is>
      </c>
      <c r="B335" s="9" t="inlineStr">
        <is>
          <t>リビオタワー品川</t>
        </is>
      </c>
      <c r="C335" s="9" t="inlineStr">
        <is>
          <t>34階</t>
        </is>
      </c>
      <c r="D335" s="9" t="inlineStr">
        <is>
          <t>推測入力</t>
        </is>
      </c>
      <c r="E335" s="9" t="inlineStr">
        <is>
          <t>写真19_キッチンラウンジと20_ワークラウンジは同じ空間（1Fワークラウンジ）を別角度から撮ったものと判断。</t>
        </is>
      </c>
    </row>
    <row r="336">
      <c r="A336" s="9" t="inlineStr">
        <is>
          <t>15</t>
        </is>
      </c>
      <c r="B336" s="9" t="inlineStr">
        <is>
          <t>パークコート北青山</t>
        </is>
      </c>
      <c r="C336" s="9" t="inlineStr">
        <is>
          <t>5階</t>
        </is>
      </c>
      <c r="D336" s="9" t="inlineStr">
        <is>
          <t>文言</t>
        </is>
      </c>
      <c r="E336" s="9" t="inlineStr">
        <is>
          <t>修繕積立金：33,550円（図面 B-p02）／30,500円（KEN・リハウス・ノムコム・PLAZA・SUUMOの5社）。図面の33,550円で入力（⑤採用候補）。改定や別項目の合算の可能性あり、元付（葵開発）に確認。</t>
        </is>
      </c>
    </row>
    <row r="337">
      <c r="A337" s="9" t="inlineStr">
        <is>
          <t>15</t>
        </is>
      </c>
      <c r="B337" s="9" t="inlineStr">
        <is>
          <t>パークコート北青山</t>
        </is>
      </c>
      <c r="C337" s="9" t="inlineStr">
        <is>
          <t>5階</t>
        </is>
      </c>
      <c r="D337" s="9" t="inlineStr">
        <is>
          <t>文言</t>
        </is>
      </c>
      <c r="E337" s="9" t="inlineStr">
        <is>
          <t>築年月：2025年3月（図面・ノムコム・PLAZA・東急リバブル）／2025年5月（分譲会社リリース・リハウス・SUUMO）／2025年6月（KEN・三井の賃貸等）。⑤採用候補の2025年5月で入力。コメントは月を書かず「2025年竣工」とした。</t>
        </is>
      </c>
    </row>
    <row r="338">
      <c r="A338" s="9" t="inlineStr">
        <is>
          <t>15</t>
        </is>
      </c>
      <c r="B338" s="9" t="inlineStr">
        <is>
          <t>パークコート北青山</t>
        </is>
      </c>
      <c r="C338" s="9" t="inlineStr">
        <is>
          <t>5階</t>
        </is>
      </c>
      <c r="D338" s="9" t="inlineStr">
        <is>
          <t>文言</t>
        </is>
      </c>
      <c r="E338" s="9" t="inlineStr">
        <is>
          <t>向き：南西（リハウス・SUUMO）／北西（KEN・PLAZA）／西（ノムコム、図面の方位記号の目視）。⑤採用候補の「西」で入力、要確認。</t>
        </is>
      </c>
    </row>
    <row r="339">
      <c r="A339" s="9" t="inlineStr">
        <is>
          <t>15</t>
        </is>
      </c>
      <c r="B339" s="9" t="inlineStr">
        <is>
          <t>パークコート北青山</t>
        </is>
      </c>
      <c r="C339" s="9" t="inlineStr">
        <is>
          <t>5階</t>
        </is>
      </c>
      <c r="D339" s="9" t="inlineStr">
        <is>
          <t>文言</t>
        </is>
      </c>
      <c r="E339" s="9" t="inlineStr">
        <is>
          <t>敷地面積：地積790.96㎡（図面）／敷地面積790.99㎡（分譲会社リリース）。図面値を入力。</t>
        </is>
      </c>
    </row>
    <row r="340">
      <c r="A340" s="9" t="inlineStr">
        <is>
          <t>15</t>
        </is>
      </c>
      <c r="B340" s="9" t="inlineStr">
        <is>
          <t>パークコート北青山</t>
        </is>
      </c>
      <c r="C340" s="9" t="inlineStr">
        <is>
          <t>5階</t>
        </is>
      </c>
      <c r="D340" s="9" t="inlineStr">
        <is>
          <t>文言</t>
        </is>
      </c>
      <c r="E340" s="9" t="inlineStr">
        <is>
          <t>顔認証とPabbit：図面「顔認証システム採用（Pabbit）」／分譲会社リリースではPabbitは荷物認証式の宅配サービス。コメントでは顔認証とDXロッカーを分けて書いた。</t>
        </is>
      </c>
    </row>
    <row r="341">
      <c r="A341" s="9" t="inlineStr">
        <is>
          <t>15</t>
        </is>
      </c>
      <c r="B341" s="9" t="inlineStr">
        <is>
          <t>パークコート北青山</t>
        </is>
      </c>
      <c r="C341" s="9" t="inlineStr">
        <is>
          <t>5階</t>
        </is>
      </c>
      <c r="D341" s="9" t="inlineStr">
        <is>
          <t>文言</t>
        </is>
      </c>
      <c r="E341" s="9" t="inlineStr">
        <is>
          <t>元付（葵開発）に自社HPの掲載がない。許可済み画像は販売図面から切り出した6枚（外観・間取図・LDK・眺望・洗面・浴室）のみ。キッチン・居室・玄関・トイレ・バルコニー・共用部の写真はすべて要許可。</t>
        </is>
      </c>
    </row>
    <row r="342">
      <c r="A342" s="9" t="inlineStr">
        <is>
          <t>15</t>
        </is>
      </c>
      <c r="B342" s="9" t="inlineStr">
        <is>
          <t>パークコート北青山</t>
        </is>
      </c>
      <c r="C342" s="9" t="inlineStr">
        <is>
          <t>5階</t>
        </is>
      </c>
      <c r="D342" s="9" t="inlineStr">
        <is>
          <t>文言</t>
        </is>
      </c>
      <c r="E342" s="9" t="inlineStr">
        <is>
          <t>要許可のうち共用部14枚は分譲会社の公式物件サイト（31mansion.com）由来。残り101枚は他社掲載（KEN・リハウス・ノムコム・PLAZA HOMES）。KEN由来は透かし有、リハウスのLD・洋室の一部は家具配置例（家具は価格に含まない）。</t>
        </is>
      </c>
    </row>
    <row r="343">
      <c r="A343" s="9" t="inlineStr">
        <is>
          <t>15</t>
        </is>
      </c>
      <c r="B343" s="9" t="inlineStr">
        <is>
          <t>パークコート北青山</t>
        </is>
      </c>
      <c r="C343" s="9" t="inlineStr">
        <is>
          <t>5階</t>
        </is>
      </c>
      <c r="D343" s="9" t="inlineStr">
        <is>
          <t>文言</t>
        </is>
      </c>
      <c r="E343" s="9" t="inlineStr">
        <is>
          <t>図面から切り出した写真（浴室・洗面・眺望）には図面上の文字「浴室」「洗面」「眺望」が入っている。気になる場合はトリミング。</t>
        </is>
      </c>
    </row>
    <row r="344">
      <c r="A344" s="9" t="inlineStr">
        <is>
          <t>15</t>
        </is>
      </c>
      <c r="B344" s="9" t="inlineStr">
        <is>
          <t>パークコート北青山</t>
        </is>
      </c>
      <c r="C344" s="9" t="inlineStr">
        <is>
          <t>5階</t>
        </is>
      </c>
      <c r="D344" s="9" t="inlineStr">
        <is>
          <t>文言</t>
        </is>
      </c>
      <c r="E344" s="9" t="inlineStr">
        <is>
          <t>共用部のファイル名と中身が違うもの：共用部/02_外観2.jpg は館銘板、共用部/14_館銘板.jpg は外観（ゲートウォールの夕景）。カテゴリとコメントは中身に合わせた。</t>
        </is>
      </c>
    </row>
    <row r="345">
      <c r="A345" s="9" t="inlineStr">
        <is>
          <t>15</t>
        </is>
      </c>
      <c r="B345" s="9" t="inlineStr">
        <is>
          <t>パークコート北青山</t>
        </is>
      </c>
      <c r="C345" s="9" t="inlineStr">
        <is>
          <t>5階</t>
        </is>
      </c>
      <c r="D345" s="9" t="inlineStr">
        <is>
          <t>文言</t>
        </is>
      </c>
      <c r="E345" s="9" t="inlineStr">
        <is>
          <t>販売図面のキャッチコピー「希少性ある北青山アドレス」は禁止語を含むため使っていない。</t>
        </is>
      </c>
    </row>
    <row r="346">
      <c r="A346" s="9" t="inlineStr">
        <is>
          <t>15</t>
        </is>
      </c>
      <c r="B346" s="9" t="inlineStr">
        <is>
          <t>パークコート北青山</t>
        </is>
      </c>
      <c r="C346" s="9" t="inlineStr">
        <is>
          <t>5階</t>
        </is>
      </c>
      <c r="D346" s="9" t="inlineStr">
        <is>
          <t>文言</t>
        </is>
      </c>
      <c r="E346" s="9" t="inlineStr">
        <is>
          <t>KENのみ記載の「ディスポーザー」「コンシェルジュサービス」、他社のみ記載の3駅目（青山一丁目）は、根拠が弱いため入れていない。</t>
        </is>
      </c>
    </row>
    <row r="347">
      <c r="A347" s="9" t="inlineStr">
        <is>
          <t>15</t>
        </is>
      </c>
      <c r="B347" s="9" t="inlineStr">
        <is>
          <t>パークコート北青山</t>
        </is>
      </c>
      <c r="C347" s="9" t="inlineStr">
        <is>
          <t>5階</t>
        </is>
      </c>
      <c r="D347" s="9" t="inlineStr">
        <is>
          <t>文言</t>
        </is>
      </c>
      <c r="E347" s="9" t="inlineStr">
        <is>
          <t>内覧は立会いが必要（図面「案内要立会い」）。</t>
        </is>
      </c>
    </row>
    <row r="348">
      <c r="A348" s="9" t="inlineStr">
        <is>
          <t>15</t>
        </is>
      </c>
      <c r="B348" s="9" t="inlineStr">
        <is>
          <t>パークコート北青山</t>
        </is>
      </c>
      <c r="C348" s="9" t="inlineStr">
        <is>
          <t>5階</t>
        </is>
      </c>
      <c r="D348" s="9" t="inlineStr">
        <is>
          <t>文言</t>
        </is>
      </c>
      <c r="E348" s="9" t="inlineStr">
        <is>
          <t>図面上の広告可否表記は「記載なし」（取引態様：売主）。依頼者指示により承諾取得済として作成。</t>
        </is>
      </c>
    </row>
    <row r="349">
      <c r="A349" s="9" t="inlineStr">
        <is>
          <t>15</t>
        </is>
      </c>
      <c r="B349" s="9" t="inlineStr">
        <is>
          <t>パークコート北青山</t>
        </is>
      </c>
      <c r="C349" s="9" t="inlineStr">
        <is>
          <t>5階</t>
        </is>
      </c>
      <c r="D349" s="9" t="inlineStr">
        <is>
          <t>推測入力</t>
        </is>
      </c>
      <c r="E349" s="9" t="inlineStr">
        <is>
          <t>設備チェック「温水洗浄便座」：他社掲載のトイレ写真（29・30・41）から推測。</t>
        </is>
      </c>
    </row>
    <row r="350">
      <c r="A350" s="9" t="inlineStr">
        <is>
          <t>15</t>
        </is>
      </c>
      <c r="B350" s="9" t="inlineStr">
        <is>
          <t>パークコート北青山</t>
        </is>
      </c>
      <c r="C350" s="9" t="inlineStr">
        <is>
          <t>5階</t>
        </is>
      </c>
      <c r="D350" s="9" t="inlineStr">
        <is>
          <t>推測入力</t>
        </is>
      </c>
      <c r="E350" s="9" t="inlineStr">
        <is>
          <t>設備チェック「低層マンション／小規模マンション」：地上10階建・総戸数28戸から選択（21Cloudの項目名に合わせて選ぶ）。</t>
        </is>
      </c>
    </row>
    <row r="351">
      <c r="A351" s="9" t="inlineStr">
        <is>
          <t>15</t>
        </is>
      </c>
      <c r="B351" s="9" t="inlineStr">
        <is>
          <t>パークコート北青山</t>
        </is>
      </c>
      <c r="C351" s="9" t="inlineStr">
        <is>
          <t>5階</t>
        </is>
      </c>
      <c r="D351" s="9" t="inlineStr">
        <is>
          <t>推測入力</t>
        </is>
      </c>
      <c r="E351" s="9" t="inlineStr">
        <is>
          <t>コメントの表現（「曲面の窓に沿って家具を置ける」「帰宅のたびに緑に迎えられる」など）は写真と間取図からの表現上の推測。</t>
        </is>
      </c>
    </row>
    <row r="352">
      <c r="A352" s="9" t="inlineStr">
        <is>
          <t>15</t>
        </is>
      </c>
      <c r="B352" s="9" t="inlineStr">
        <is>
          <t>パークコート北青山</t>
        </is>
      </c>
      <c r="C352" s="9" t="inlineStr">
        <is>
          <t>5階</t>
        </is>
      </c>
      <c r="D352" s="9" t="inlineStr">
        <is>
          <t>推測入力</t>
        </is>
      </c>
      <c r="E352" s="9" t="inlineStr">
        <is>
          <t>要許可写真のコメントは部位ごとの共通文を使った（同じ部位の写真は同じ文になっているものがある）。許可が取れて使う写真だけ、必要に応じて書き分ける。</t>
        </is>
      </c>
    </row>
    <row r="353">
      <c r="A353" s="9" t="inlineStr">
        <is>
          <t>15</t>
        </is>
      </c>
      <c r="B353" s="9" t="inlineStr">
        <is>
          <t>パークコート北青山</t>
        </is>
      </c>
      <c r="C353" s="9" t="inlineStr">
        <is>
          <t>5階</t>
        </is>
      </c>
      <c r="D353" s="9" t="inlineStr">
        <is>
          <t>推測入力</t>
        </is>
      </c>
      <c r="E353" s="9" t="inlineStr">
        <is>
          <t>要許可の洋室写真（42〜47・56〜58）がRoom2・Room3のどちらかは特定していない。44・45は窓の数と広さから主寝室と判断し「寝室」カテゴリにした。</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2026-09-27T10:42:25Z</dcterms:created>
  <dcterms:modified xmlns:dcterms="http://purl.org/dc/terms/" xmlns:xsi="http://www.w3.org/2001/XMLSchema-instance" xsi:type="dcterms:W3CDTF">2026-09-27T10:42:25Z</dcterms:modified>
</cp:coreProperties>
</file>