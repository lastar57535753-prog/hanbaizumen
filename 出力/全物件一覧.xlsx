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戸一覧" sheetId="1" state="visible" r:id="rId1"/>
    <sheet xmlns:r="http://schemas.openxmlformats.org/officeDocument/2006/relationships" name="未確認・食い違い" sheetId="2" state="visible" r:id="rId2"/>
  </sheets>
  <definedNames>
    <definedName name="_xlnm._FilterDatabase" localSheetId="0" hidden="1">'住戸一覧'!$A$4:$N$21</definedName>
    <definedName name="_xlnm._FilterDatabase" localSheetId="1" hidden="1">'未確認・食い違い'!$A$3:$I$360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iragino Sans"/>
      <b val="1"/>
      <sz val="14"/>
    </font>
    <font>
      <name val="Hiragino Sans"/>
      <color rgb="00555555"/>
      <sz val="9"/>
    </font>
    <font>
      <name val="Hiragino Sans"/>
      <b val="1"/>
      <color rgb="00FFFFFF"/>
      <sz val="11"/>
    </font>
    <font>
      <name val="Hiragino Sans"/>
      <sz val="10"/>
    </font>
    <font>
      <name val="Hiragino Sans"/>
      <b val="1"/>
      <sz val="10"/>
    </font>
  </fonts>
  <fills count="3">
    <fill>
      <patternFill/>
    </fill>
    <fill>
      <patternFill patternType="gray125"/>
    </fill>
    <fill>
      <patternFill patternType="solid">
        <fgColor rgb="001A2C5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4" customWidth="1" min="4" max="4"/>
    <col width="11" customWidth="1" min="5" max="5"/>
    <col width="30" customWidth="1" min="6" max="6"/>
    <col width="11" customWidth="1" min="7" max="7"/>
    <col width="22" customWidth="1" min="8" max="8"/>
    <col width="34" customWidth="1" min="9" max="9"/>
    <col width="10" customWidth="1" min="10" max="10"/>
    <col width="34" customWidth="1" min="11" max="11"/>
    <col width="9" customWidth="1" min="12" max="12"/>
    <col width="11" customWidth="1" min="13" max="13"/>
    <col width="14" customWidth="1" min="14" max="14"/>
  </cols>
  <sheetData>
    <row r="1">
      <c r="A1" s="1" t="inlineStr">
        <is>
          <t>全物件一覧（港区 高額帯マンション／アットホーム掲載準備）</t>
        </is>
      </c>
    </row>
    <row r="2">
      <c r="A2" s="2" t="inlineStr">
        <is>
          <t>写真枚数＝元付HP・販売図面由来の住戸写真＋間取図（実ファイル数）。他社掲載写真（要許可確認）は別列。共用部の写真は含まない。詳細・出典は各マンションフォルダの物件情報.mdを参照。</t>
        </is>
      </c>
    </row>
    <row r="4">
      <c r="A4" s="3" t="inlineStr">
        <is>
          <t>No</t>
        </is>
      </c>
      <c r="B4" s="3" t="inlineStr">
        <is>
          <t>マンション名</t>
        </is>
      </c>
      <c r="C4" s="3" t="inlineStr">
        <is>
          <t>住戸</t>
        </is>
      </c>
      <c r="D4" s="3" t="inlineStr">
        <is>
          <t>価格</t>
        </is>
      </c>
      <c r="E4" s="3" t="inlineStr">
        <is>
          <t>専有面積</t>
        </is>
      </c>
      <c r="F4" s="3" t="inlineStr">
        <is>
          <t>間取り</t>
        </is>
      </c>
      <c r="G4" s="3" t="inlineStr">
        <is>
          <t>階</t>
        </is>
      </c>
      <c r="H4" s="3" t="inlineStr">
        <is>
          <t>向き</t>
        </is>
      </c>
      <c r="I4" s="3" t="inlineStr">
        <is>
          <t>管理費等合計（月額）</t>
        </is>
      </c>
      <c r="J4" s="3" t="inlineStr">
        <is>
          <t>現況</t>
        </is>
      </c>
      <c r="K4" s="3" t="inlineStr">
        <is>
          <t>元付</t>
        </is>
      </c>
      <c r="L4" s="3" t="inlineStr">
        <is>
          <t>写真枚数</t>
        </is>
      </c>
      <c r="M4" s="3" t="inlineStr">
        <is>
          <t>未確認項目数</t>
        </is>
      </c>
      <c r="N4" s="3" t="inlineStr">
        <is>
          <t>他社掲載写真（要許可確認）</t>
        </is>
      </c>
    </row>
    <row r="5">
      <c r="A5" s="4" t="inlineStr">
        <is>
          <t>01</t>
        </is>
      </c>
      <c r="B5" s="4" t="inlineStr">
        <is>
          <t>高輪ザ・レジデンス</t>
        </is>
      </c>
      <c r="C5" s="4" t="inlineStr">
        <is>
          <t>46-47階</t>
        </is>
      </c>
      <c r="D5" s="4" t="inlineStr">
        <is>
          <t>11億9,000万円</t>
        </is>
      </c>
      <c r="E5" s="4" t="inlineStr">
        <is>
          <t>285.25㎡</t>
        </is>
      </c>
      <c r="F5" s="4" t="inlineStr">
        <is>
          <t>1LDK＋S（図面表記差あり：サザビーズ図面「1LDK＋Gym＋Sauna」、サザビーズHP「1LDK」）</t>
        </is>
      </c>
      <c r="G5" s="4" t="inlineStr">
        <is>
          <t>46・47階（最上階メゾネット）</t>
        </is>
      </c>
      <c r="H5" s="4" t="inlineStr">
        <is>
          <t>南向き角住戸（ケン図面「南・西・東」、ケンHP「南東」、サザビーズHP主要採光面「南」）</t>
        </is>
      </c>
      <c r="I5" s="4" t="inlineStr">
        <is>
          <t>211,127円（管理費94,500＋修繕積立金106,980＋特定階負担金6,732＋ゴミ1,800＋CATV315＋ネット800）</t>
        </is>
      </c>
      <c r="J5" s="4" t="inlineStr">
        <is>
          <t>空室</t>
        </is>
      </c>
      <c r="K5" s="4" t="inlineStr">
        <is>
          <t>ケン・コーポレーション（HP物件番号2026076317／図面№2025105887）／リスト サザビーズ インターナショナルリアルティ（B00104-008444）</t>
        </is>
      </c>
      <c r="L5" s="4" t="n">
        <v>22</v>
      </c>
      <c r="M5" s="4" t="n">
        <v>18</v>
      </c>
      <c r="N5" s="4" t="n">
        <v>0</v>
      </c>
    </row>
    <row r="6">
      <c r="A6" s="4" t="inlineStr">
        <is>
          <t>01</t>
        </is>
      </c>
      <c r="B6" s="4" t="inlineStr">
        <is>
          <t>高輪ザ・レジデンス</t>
        </is>
      </c>
      <c r="C6" s="4" t="inlineStr">
        <is>
          <t>44階</t>
        </is>
      </c>
      <c r="D6" s="4" t="inlineStr">
        <is>
          <t>8億8,700万円</t>
        </is>
      </c>
      <c r="E6" s="4" t="inlineStr">
        <is>
          <t>261.94㎡</t>
        </is>
      </c>
      <c r="F6" s="4" t="inlineStr">
        <is>
          <t>2LDK＋5S＋2WIC＋SIC（安全側採用。図面表記差あり：JPE「3LDK+4S+2WIC+SIC」、リバブル「3LDK+S」）</t>
        </is>
      </c>
      <c r="G6" s="4" t="inlineStr">
        <is>
          <t>44階</t>
        </is>
      </c>
      <c r="H6" s="4" t="inlineStr">
        <is>
          <t>東向き（バルコニー北東・東・南東の3か所）</t>
        </is>
      </c>
      <c r="I6" s="4" t="inlineStr">
        <is>
          <t>194,137円（管理費86,800＋修繕積立金98,240＋特定階負担金6,182＋ネット800＋CATV315＋ゴミ1,800）</t>
        </is>
      </c>
      <c r="J6" s="4" t="inlineStr">
        <is>
          <t>空室</t>
        </is>
      </c>
      <c r="K6" s="4" t="inlineStr">
        <is>
          <t>J・P・E（P-C2510F44DAJ）／野村不動産ソリューションズ REALIA東京（EF416010）／東急リバブル GRANTACT六本木（C13266U89）</t>
        </is>
      </c>
      <c r="L6" s="4" t="n">
        <v>32</v>
      </c>
      <c r="M6" s="4" t="n">
        <v>19</v>
      </c>
      <c r="N6" s="4" t="n">
        <v>0</v>
      </c>
    </row>
    <row r="7">
      <c r="A7" s="4" t="inlineStr">
        <is>
          <t>01</t>
        </is>
      </c>
      <c r="B7" s="4" t="inlineStr">
        <is>
          <t>高輪ザ・レジデンス</t>
        </is>
      </c>
      <c r="C7" s="4" t="inlineStr">
        <is>
          <t>43階</t>
        </is>
      </c>
      <c r="D7" s="4" t="inlineStr">
        <is>
          <t>8億9,800万円</t>
        </is>
      </c>
      <c r="E7" s="4" t="inlineStr">
        <is>
          <t>224.19㎡</t>
        </is>
      </c>
      <c r="F7" s="4" t="inlineStr">
        <is>
          <t>3LDK＋DEN＋4S＋3WIC＋SIC（ケンHPは「3LDK+S」）</t>
        </is>
      </c>
      <c r="G7" s="4" t="inlineStr">
        <is>
          <t>43階</t>
        </is>
      </c>
      <c r="H7" s="4" t="inlineStr">
        <is>
          <t>西向き（ケンHP）</t>
        </is>
      </c>
      <c r="I7" s="4" t="inlineStr">
        <is>
          <t>161,295円（管理費74,300＋修繕積立金84,080＋ネット800＋CATV315＋ゴミ1,800。特定階負担金の有無は未確認）</t>
        </is>
      </c>
      <c r="J7" s="4" t="inlineStr">
        <is>
          <t>空室</t>
        </is>
      </c>
      <c r="K7" s="4" t="inlineStr">
        <is>
          <t>RMパートナーズ（売主）※ケン・コーポレーションも掲載（2026015189）</t>
        </is>
      </c>
      <c r="L7" s="4" t="n">
        <v>27</v>
      </c>
      <c r="M7" s="4" t="n">
        <v>19</v>
      </c>
      <c r="N7" s="4" t="n">
        <v>6</v>
      </c>
    </row>
    <row r="8">
      <c r="A8" s="4" t="inlineStr">
        <is>
          <t>02</t>
        </is>
      </c>
      <c r="B8" s="4" t="inlineStr">
        <is>
          <t>アクシア青山</t>
        </is>
      </c>
      <c r="C8" s="4" t="inlineStr">
        <is>
          <t>20階</t>
        </is>
      </c>
      <c r="D8" s="4" t="inlineStr">
        <is>
          <t>13億8,000万円</t>
        </is>
      </c>
      <c r="E8" s="4" t="inlineStr">
        <is>
          <t>266.79㎡（壁芯、80.70坪）</t>
        </is>
      </c>
      <c r="F8" s="4" t="inlineStr">
        <is>
          <t>5LDK（図面表記差あり：KEN過去賃貸ページタイトルは「4LDK+FAMILY ROOM」。間取図は寝室3＋和室＋ファミリールーム＋LD）</t>
        </is>
      </c>
      <c r="G8" s="4" t="inlineStr">
        <is>
          <t>20階（地上20階地下1階建の20階・上階に住居なし／設計者UG等は地上21階と記載）</t>
        </is>
      </c>
      <c r="H8" s="4" t="inlineStr">
        <is>
          <t>西（元付HP・SUUMO）／図面は4面採光・角部屋</t>
        </is>
      </c>
      <c r="I8" s="4" t="inlineStr">
        <is>
          <t>178,780円（管理費114,390円＋修繕積立金61,890円＋専用テラス使用料2,500円）</t>
        </is>
      </c>
      <c r="J8" s="4" t="inlineStr">
        <is>
          <t>空家（引渡 相談）</t>
        </is>
      </c>
      <c r="K8" s="4" t="inlineStr">
        <is>
          <t>住友不動産ステップ 本社マンションプラザ（登録No.152T3224、図面番号B-2602-06787）</t>
        </is>
      </c>
      <c r="L8" s="4" t="n">
        <v>15</v>
      </c>
      <c r="M8" s="4" t="n">
        <v>18</v>
      </c>
      <c r="N8" s="4" t="n">
        <v>1</v>
      </c>
    </row>
    <row r="9">
      <c r="A9" s="4" t="inlineStr">
        <is>
          <t>03</t>
        </is>
      </c>
      <c r="B9" s="4" t="inlineStr">
        <is>
          <t>シティタワー高輪</t>
        </is>
      </c>
      <c r="C9" s="4" t="inlineStr">
        <is>
          <t>34階</t>
        </is>
      </c>
      <c r="D9" s="4" t="inlineStr">
        <is>
          <t>8億9,800万円（税込）</t>
        </is>
      </c>
      <c r="E9" s="4" t="inlineStr">
        <is>
          <t>226.12㎡（壁芯）</t>
        </is>
      </c>
      <c r="F9" s="4" t="inlineStr">
        <is>
          <t>5LDK+3WIC+SIC（図面表記差あり：小田急HP概要・SUUMOは5LDK）</t>
        </is>
      </c>
      <c r="G9" s="4" t="inlineStr">
        <is>
          <t>34階（35階建）</t>
        </is>
      </c>
      <c r="H9" s="4" t="inlineStr">
        <is>
          <t>北東角住戸（小田急HP：バルコニー向き北東／図面方位記号より：バルコニー側は東（やや北寄り）、LDK・Bedroom④は北側にも開口）</t>
        </is>
      </c>
      <c r="I9" s="4" t="inlineStr">
        <is>
          <t>234,960円（管理費84,558円＋修繕積立金96,902円＋駐車場平置き専用使用権51,000円＋トランクルーム2,500円）</t>
        </is>
      </c>
      <c r="J9" s="4" t="inlineStr">
        <is>
          <t>空室</t>
        </is>
      </c>
      <c r="K9" s="4" t="inlineStr">
        <is>
          <t>小田急不動産 新宿営業センター（売主）</t>
        </is>
      </c>
      <c r="L9" s="4" t="n">
        <v>16</v>
      </c>
      <c r="M9" s="4" t="n">
        <v>15</v>
      </c>
      <c r="N9" s="4" t="n">
        <v>10</v>
      </c>
    </row>
    <row r="10">
      <c r="A10" s="4" t="inlineStr">
        <is>
          <t>04</t>
        </is>
      </c>
      <c r="B10" s="4" t="inlineStr">
        <is>
          <t>パークコート赤坂ザタワー</t>
        </is>
      </c>
      <c r="C10" s="4" t="inlineStr">
        <is>
          <t>4307号室</t>
        </is>
      </c>
      <c r="D10" s="4" t="inlineStr">
        <is>
          <t>18億8,000万円（188,000万円）</t>
        </is>
      </c>
      <c r="E10" s="4" t="inlineStr">
        <is>
          <t>218.19㎡（約66.00坪）、バルコニー12.60㎡</t>
        </is>
      </c>
      <c r="F10" s="4" t="inlineStr">
        <is>
          <t>3LDK（図面見出し：3LDK+2WIC+3Powderroom+Showerroom+Pantry+Storeroom／分譲時モデル220-Atypeは1LDK+Vestibule+SiC+Sto+Ut）</t>
        </is>
      </c>
      <c r="G10" s="4" t="inlineStr">
        <is>
          <t>43階（最上階）</t>
        </is>
      </c>
      <c r="H10" s="4" t="inlineStr">
        <is>
          <t>北向き（図面方位記号より。赤坂御所方向）</t>
        </is>
      </c>
      <c r="I10" s="4" t="inlineStr">
        <is>
          <t>268,840円（管理費70,660円＋修繕積立金38,180円＋駐車場使用料160,000円＝平置特大区画23・24 各80,000円×2台）</t>
        </is>
      </c>
      <c r="J10" s="4" t="inlineStr">
        <is>
          <t>未確認</t>
        </is>
      </c>
      <c r="K10" s="4" t="inlineStr">
        <is>
          <t>サンヨーホームズ株式会社（売主）</t>
        </is>
      </c>
      <c r="L10" s="4" t="n">
        <v>2</v>
      </c>
      <c r="M10" s="4" t="n">
        <v>16</v>
      </c>
      <c r="N10" s="4" t="n">
        <v>0</v>
      </c>
    </row>
    <row r="11">
      <c r="A11" s="4" t="inlineStr">
        <is>
          <t>05</t>
        </is>
      </c>
      <c r="B11" s="4" t="inlineStr">
        <is>
          <t>レフィール南麻布</t>
        </is>
      </c>
      <c r="C11" s="4" t="inlineStr">
        <is>
          <t>3-4階</t>
        </is>
      </c>
      <c r="D11" s="4" t="inlineStr">
        <is>
          <t>23億8,000万円（税込）</t>
        </is>
      </c>
      <c r="E11" s="4" t="inlineStr">
        <is>
          <t>215.65㎡</t>
        </is>
      </c>
      <c r="F11" s="4" t="inlineStr">
        <is>
          <t>3SLDK＋2WIC＋UT＋SIC（表記差あり：過去売出 3LDK＋2WIC＋WIP＋SIC＋U、分譲時 3LDK）</t>
        </is>
      </c>
      <c r="G11" s="4" t="inlineStr">
        <is>
          <t>3・4階（メゾネット、4階は最上階）</t>
        </is>
      </c>
      <c r="H11" s="4" t="inlineStr">
        <is>
          <t>主要採光 南／ルーフバルコニー 北（中住戸・南北両面開口）</t>
        </is>
      </c>
      <c r="I11" s="4" t="inlineStr">
        <is>
          <t>233,555円（管理費166,100＋修繕積立金49,600＋その他17,855＝ルーバル10,000・ネット2,255・町会費300・トランクルーム5,300）※駐車場55,000〜65,000円は別</t>
        </is>
      </c>
      <c r="J11" s="4" t="inlineStr">
        <is>
          <t>空室（2026年6月下旬内装リフォーム完成・7/14家具設置済）</t>
        </is>
      </c>
      <c r="K11" s="4" t="inlineStr">
        <is>
          <t>アンビションDXホールディングス（売主）</t>
        </is>
      </c>
      <c r="L11" s="4" t="n">
        <v>0</v>
      </c>
      <c r="M11" s="4" t="n">
        <v>14</v>
      </c>
      <c r="N11" s="4" t="n">
        <v>41</v>
      </c>
    </row>
    <row r="12">
      <c r="A12" s="4" t="inlineStr">
        <is>
          <t>06</t>
        </is>
      </c>
      <c r="B12" s="4" t="inlineStr">
        <is>
          <t>アークヒルズ仙石山レジデンス</t>
        </is>
      </c>
      <c r="C12" s="4" t="inlineStr">
        <is>
          <t>18階</t>
        </is>
      </c>
      <c r="D12" s="4" t="inlineStr">
        <is>
          <t>19億円（190,000万円）</t>
        </is>
      </c>
      <c r="E12" s="4" t="inlineStr">
        <is>
          <t>210.31㎡</t>
        </is>
      </c>
      <c r="F12" s="4" t="inlineStr">
        <is>
          <t>4LDK（図面2社一致。HJ英文は4bed-2bath、三井図面は2バス・3トイレ表記）</t>
        </is>
      </c>
      <c r="G12" s="4" t="inlineStr">
        <is>
          <t>18階</t>
        </is>
      </c>
      <c r="H12" s="4" t="inlineStr">
        <is>
          <t>北東・南東（角住戸）</t>
        </is>
      </c>
      <c r="I12" s="4" t="inlineStr">
        <is>
          <t>197,120円（管理費134,830円＋修繕積立金62,290円）</t>
        </is>
      </c>
      <c r="J12" s="4" t="inlineStr">
        <is>
          <t>空室</t>
        </is>
      </c>
      <c r="K12" s="4" t="inlineStr">
        <is>
          <t>ハウジング・ジャパン／三井不動産リアルティ（三井のリアルプラン六本木サロン、登録No.FSABQA0C）</t>
        </is>
      </c>
      <c r="L12" s="4" t="n">
        <v>36</v>
      </c>
      <c r="M12" s="4" t="n">
        <v>11</v>
      </c>
      <c r="N12" s="4" t="n">
        <v>1</v>
      </c>
    </row>
    <row r="13">
      <c r="A13" s="4" t="inlineStr">
        <is>
          <t>07</t>
        </is>
      </c>
      <c r="B13" s="4" t="inlineStr">
        <is>
          <t>元麻布ヒルズフォレストタワー</t>
        </is>
      </c>
      <c r="C13" s="4" t="inlineStr">
        <is>
          <t>24階</t>
        </is>
      </c>
      <c r="D13" s="4" t="inlineStr">
        <is>
          <t>20億8,000万円（税込）</t>
        </is>
      </c>
      <c r="E13" s="4" t="inlineStr">
        <is>
          <t>198.64㎡（バルコニー35.64㎡実測）</t>
        </is>
      </c>
      <c r="F13" s="4" t="inlineStr">
        <is>
          <t>3LDK+2BATHROOM+WIC+2SIC（図面表記。HOME'Sの23階同面積住戸は3LDK・LD30.9帖で帖数が異なる）</t>
        </is>
      </c>
      <c r="G13" s="4" t="inlineStr">
        <is>
          <t>24階</t>
        </is>
      </c>
      <c r="H13" s="4" t="inlineStr">
        <is>
          <t>未確認（図面に方位なし。参考：23階198.64㎡住戸は主採光北東〈HOME'S〉）</t>
        </is>
      </c>
      <c r="I13" s="4" t="inlineStr">
        <is>
          <t>211,900円（管理費118,600円＋修繕積立金81,300円＋トランクルーム12,000円）</t>
        </is>
      </c>
      <c r="J13" s="4" t="inlineStr">
        <is>
          <t>空室</t>
        </is>
      </c>
      <c r="K13" s="4" t="inlineStr">
        <is>
          <t>アンビションDXホールディングス（売主）</t>
        </is>
      </c>
      <c r="L13" s="4" t="n">
        <v>2</v>
      </c>
      <c r="M13" s="4" t="n">
        <v>8</v>
      </c>
      <c r="N13" s="4" t="n">
        <v>0</v>
      </c>
    </row>
    <row r="14">
      <c r="A14" s="4" t="inlineStr">
        <is>
          <t>08</t>
        </is>
      </c>
      <c r="B14" s="4" t="inlineStr">
        <is>
          <t>元麻布ヒルズ フォレストテラスイースト</t>
        </is>
      </c>
      <c r="C14" s="4" t="inlineStr">
        <is>
          <t>3階</t>
        </is>
      </c>
      <c r="D14" s="4" t="inlineStr">
        <is>
          <t>15億円</t>
        </is>
      </c>
      <c r="E14" s="4" t="inlineStr">
        <is>
          <t>191.91㎡</t>
        </is>
      </c>
      <c r="F14" s="4" t="inlineStr">
        <is>
          <t>3LDK（モダンスタンダード賃貸掲載は3LDK+WIC+WIC+WIC）</t>
        </is>
      </c>
      <c r="G14" s="4" t="inlineStr">
        <is>
          <t>3階（図面：地上5階地下1階建／森ビル公式：地上6階地下1階）</t>
        </is>
      </c>
      <c r="H14" s="4" t="inlineStr">
        <is>
          <t>南東（KEN HP・SUUMO。図面方位記号とも整合）</t>
        </is>
      </c>
      <c r="I14" s="4" t="inlineStr">
        <is>
          <t>193,100円（管理費114,600円＋修繕積立金78,500円、その他なし）</t>
        </is>
      </c>
      <c r="J14" s="4" t="inlineStr">
        <is>
          <t>居住中</t>
        </is>
      </c>
      <c r="K14" s="4" t="inlineStr">
        <is>
          <t>ケン・コーポレーション 住宅営業部（物件№2026065194）</t>
        </is>
      </c>
      <c r="L14" s="4" t="n">
        <v>12</v>
      </c>
      <c r="M14" s="4" t="n">
        <v>18</v>
      </c>
      <c r="N14" s="4" t="n">
        <v>2</v>
      </c>
    </row>
    <row r="15">
      <c r="A15" s="4" t="inlineStr">
        <is>
          <t>09</t>
        </is>
      </c>
      <c r="B15" s="4" t="inlineStr">
        <is>
          <t>パークコート虎ノ門愛宕タワー</t>
        </is>
      </c>
      <c r="C15" s="4" t="inlineStr">
        <is>
          <t>29-30階</t>
        </is>
      </c>
      <c r="D15" s="4" t="inlineStr">
        <is>
          <t>14億円（140,000万円）</t>
        </is>
      </c>
      <c r="E15" s="4" t="inlineStr">
        <is>
          <t>183.36㎡（壁芯）</t>
        </is>
      </c>
      <c r="F15" s="4" t="inlineStr">
        <is>
          <t>3LDK＋2WIC＋SIC（図面表記のみ）</t>
        </is>
      </c>
      <c r="G15" s="4" t="inlineStr">
        <is>
          <t>29・30階（最上階）メゾネット</t>
        </is>
      </c>
      <c r="H15" s="4" t="inlineStr">
        <is>
          <t>南東・北東向き（角住戸）</t>
        </is>
      </c>
      <c r="I15" s="4" t="inlineStr">
        <is>
          <t>194,350円（管理費73,340円＋修繕積立金66,010円＋駐車場使用料55,000円）</t>
        </is>
      </c>
      <c r="J15" s="4" t="inlineStr">
        <is>
          <t>空室</t>
        </is>
      </c>
      <c r="K15" s="4" t="inlineStr">
        <is>
          <t>三井不動産リアルティ（三井のリアルプラン 白金高輪サロン、登録No.FAXBDA0E）</t>
        </is>
      </c>
      <c r="L15" s="4" t="n">
        <v>9</v>
      </c>
      <c r="M15" s="4" t="n">
        <v>11</v>
      </c>
      <c r="N15" s="4" t="n">
        <v>0</v>
      </c>
    </row>
    <row r="16">
      <c r="A16" s="4" t="inlineStr">
        <is>
          <t>10</t>
        </is>
      </c>
      <c r="B16" s="4" t="inlineStr">
        <is>
          <t>東京ツインパークス</t>
        </is>
      </c>
      <c r="C16" s="4" t="inlineStr">
        <is>
          <t>レフトウィング4603号室</t>
        </is>
      </c>
      <c r="D16" s="4" t="inlineStr">
        <is>
          <t>9億9,999万円</t>
        </is>
      </c>
      <c r="E16" s="4" t="inlineStr">
        <is>
          <t>183.19㎡</t>
        </is>
      </c>
      <c r="F16" s="4" t="inlineStr">
        <is>
          <t>2LDK（ノムコム表記：2LDK＋WIC＋SIC）</t>
        </is>
      </c>
      <c r="G16" s="4" t="inlineStr">
        <is>
          <t>46階</t>
        </is>
      </c>
      <c r="H16" s="4" t="inlineStr">
        <is>
          <t>南西（南西・北西向き角住戸）</t>
        </is>
      </c>
      <c r="I16" s="4" t="inlineStr">
        <is>
          <t>90,720円（管理費57,000＋修繕積立金17,100＋その他16,620［ザ・スカイハウス7,000・ネット2,000・TTP保守1,000・給湯暖房基本料4,900・ヒーツ修繕積立金1,720］）。駐車場70,000円含むと160,720円</t>
        </is>
      </c>
      <c r="J16" s="4" t="inlineStr">
        <is>
          <t>空室</t>
        </is>
      </c>
      <c r="K16" s="4" t="inlineStr">
        <is>
          <t>サンウッド（売主）／他に野村不動産ソリューションズが仲介掲載</t>
        </is>
      </c>
      <c r="L16" s="4" t="n">
        <v>16</v>
      </c>
      <c r="M16" s="4" t="n">
        <v>14</v>
      </c>
      <c r="N16" s="4" t="n">
        <v>0</v>
      </c>
    </row>
    <row r="17">
      <c r="A17" s="4" t="inlineStr">
        <is>
          <t>11</t>
        </is>
      </c>
      <c r="B17" s="4" t="inlineStr">
        <is>
          <t>乃木坂パークハウス</t>
        </is>
      </c>
      <c r="C17" s="4" t="inlineStr">
        <is>
          <t>21階</t>
        </is>
      </c>
      <c r="D17" s="4" t="inlineStr">
        <is>
          <t>9億8,000万円（税込）</t>
        </is>
      </c>
      <c r="E17" s="4" t="inlineStr">
        <is>
          <t>176.87㎡（壁芯）</t>
        </is>
      </c>
      <c r="F17" s="4" t="inlineStr">
        <is>
          <t>3LDK（図面・HPとも。2玄関・2バス、HPはDK約16.2帖表記）</t>
        </is>
      </c>
      <c r="G17" s="4" t="inlineStr">
        <is>
          <t>21階</t>
        </is>
      </c>
      <c r="H17" s="4" t="inlineStr">
        <is>
          <t>四方角住戸（眺望：乃木神社・衆議院副議長公邸・檜町公園・表参道方面。主採光方位の記載なし）</t>
        </is>
      </c>
      <c r="I17" s="4" t="inlineStr">
        <is>
          <t>189,742円（管理費104,842円＋修繕積立金84,900円）</t>
        </is>
      </c>
      <c r="J17" s="4" t="inlineStr">
        <is>
          <t>空室（ハウスクリーニング済、引渡相談）</t>
        </is>
      </c>
      <c r="K17" s="4" t="inlineStr">
        <is>
          <t>リストホームズ（売主、手数料4.5%）</t>
        </is>
      </c>
      <c r="L17" s="4" t="n">
        <v>6</v>
      </c>
      <c r="M17" s="4" t="n">
        <v>15</v>
      </c>
      <c r="N17" s="4" t="n">
        <v>29</v>
      </c>
    </row>
    <row r="18">
      <c r="A18" s="4" t="inlineStr">
        <is>
          <t>12</t>
        </is>
      </c>
      <c r="B18" s="4" t="inlineStr">
        <is>
          <t>HIKAWA GARDENS AKASAKA</t>
        </is>
      </c>
      <c r="C18" s="4" t="inlineStr">
        <is>
          <t>1階</t>
        </is>
      </c>
      <c r="D18" s="4" t="inlineStr">
        <is>
          <t>9億7,800万円</t>
        </is>
      </c>
      <c r="E18" s="4" t="inlineStr">
        <is>
          <t>174.28㎡</t>
        </is>
      </c>
      <c r="F18" s="4" t="inlineStr">
        <is>
          <t>3LDK（図面表記差あり：合豊A-p18「3LDK+2バス2トイレ」／ケンA-p19・KEN・SUUMO「3LDK」）</t>
        </is>
      </c>
      <c r="G18" s="4" t="inlineStr">
        <is>
          <t>1階（地上6階地下2階建）</t>
        </is>
      </c>
      <c r="H18" s="4" t="inlineStr">
        <is>
          <t>南（KEN・SUUMO記載。図面に採光面記載なし）、角部屋</t>
        </is>
      </c>
      <c r="I18" s="4" t="inlineStr">
        <is>
          <t>243,070円（管理費118,160＋修繕積立金31,370＋その他93,540［ヒーツ管理費9,060＋ヒーツ修繕積立金17,780＋駐車場64,000＋トランクルーム2,700］）</t>
        </is>
      </c>
      <c r="J18" s="4" t="inlineStr">
        <is>
          <t>居住中</t>
        </is>
      </c>
      <c r="K18" s="4" t="inlineStr">
        <is>
          <t>合豊（売主代理）／ケン・コーポレーション外国部（媒介、№2026085910）</t>
        </is>
      </c>
      <c r="L18" s="4" t="n">
        <v>5</v>
      </c>
      <c r="M18" s="4" t="n">
        <v>11</v>
      </c>
      <c r="N18" s="4" t="n">
        <v>0</v>
      </c>
    </row>
    <row r="19">
      <c r="A19" s="4" t="inlineStr">
        <is>
          <t>13</t>
        </is>
      </c>
      <c r="B19" s="4" t="inlineStr">
        <is>
          <t>虎ノ門ヒルズ レジデンシャルタワー</t>
        </is>
      </c>
      <c r="C19" s="4" t="inlineStr">
        <is>
          <t>29階</t>
        </is>
      </c>
      <c r="D19" s="4" t="inlineStr">
        <is>
          <t>16億5,000万円</t>
        </is>
      </c>
      <c r="E19" s="4" t="inlineStr">
        <is>
          <t>170.97㎡</t>
        </is>
      </c>
      <c r="F19" s="4" t="inlineStr">
        <is>
          <t>2LDK+WIC（図面・KEN同一）</t>
        </is>
      </c>
      <c r="G19" s="4" t="inlineStr">
        <is>
          <t>29階（地上54階建）</t>
        </is>
      </c>
      <c r="H19" s="4" t="inlineStr">
        <is>
          <t>北西（北西角住戸、KEN方位表記）</t>
        </is>
      </c>
      <c r="I19" s="4" t="inlineStr">
        <is>
          <t>214,560円（管理費170,280円＋修繕積立金43,290円＋共視聴設備使用料990円）</t>
        </is>
      </c>
      <c r="J19" s="4" t="inlineStr">
        <is>
          <t>空室</t>
        </is>
      </c>
      <c r="K19" s="4" t="inlineStr">
        <is>
          <t>ケン・コーポレーション（物件№2026055236）</t>
        </is>
      </c>
      <c r="L19" s="4" t="n">
        <v>16</v>
      </c>
      <c r="M19" s="4" t="n">
        <v>17</v>
      </c>
      <c r="N19" s="4" t="n">
        <v>0</v>
      </c>
    </row>
    <row r="20">
      <c r="A20" s="4" t="inlineStr">
        <is>
          <t>14</t>
        </is>
      </c>
      <c r="B20" s="4" t="inlineStr">
        <is>
          <t>リビオタワー品川</t>
        </is>
      </c>
      <c r="C20" s="4" t="inlineStr">
        <is>
          <t>34階</t>
        </is>
      </c>
      <c r="D20" s="4" t="inlineStr">
        <is>
          <t>6億3,500万円（図面・依頼者指示）※元付HPは6億8,000万円</t>
        </is>
      </c>
      <c r="E20" s="4" t="inlineStr">
        <is>
          <t>130.24㎡</t>
        </is>
      </c>
      <c r="F20" s="4" t="inlineStr">
        <is>
          <t>3LDK＋3WIC（図面表記差あり：元付HP 3LDK+3WIC+SIC、間取図 3LDK+3WIC+SIC+N+TR、タイプP-130Ane）</t>
        </is>
      </c>
      <c r="G20" s="4" t="inlineStr">
        <is>
          <t>34階（最上階）（3415号室）</t>
        </is>
      </c>
      <c r="H20" s="4" t="inlineStr">
        <is>
          <t>公式記載なし（間取図より北東角と判読・要確認）</t>
        </is>
      </c>
      <c r="I20" s="4" t="inlineStr">
        <is>
          <t>97,248円（管理費61,860＋修繕積立金24,740＋その他10,648）※規約附表ではその他10,450円（トランクルーム5,840＋ネット2,288＋シャトルバス2,322）で合計97,050円</t>
        </is>
      </c>
      <c r="J20" s="4" t="inlineStr">
        <is>
          <t>未入居（元付HPは空室）</t>
        </is>
      </c>
      <c r="K20" s="4" t="inlineStr">
        <is>
          <t>アンドデザイン（図面：売主代理 手数料1.5%／元付HP：仲介）</t>
        </is>
      </c>
      <c r="L20" s="4" t="n">
        <v>14</v>
      </c>
      <c r="M20" s="4" t="n">
        <v>12</v>
      </c>
      <c r="N20" s="4" t="n">
        <v>1</v>
      </c>
    </row>
    <row r="21">
      <c r="A21" s="4" t="inlineStr">
        <is>
          <t>15</t>
        </is>
      </c>
      <c r="B21" s="4" t="inlineStr">
        <is>
          <t>パークコート北青山</t>
        </is>
      </c>
      <c r="C21" s="4" t="inlineStr">
        <is>
          <t>5階</t>
        </is>
      </c>
      <c r="D21" s="4" t="inlineStr">
        <is>
          <t>5億9,800万円</t>
        </is>
      </c>
      <c r="E21" s="4" t="inlineStr">
        <is>
          <t>111.73㎡</t>
        </is>
      </c>
      <c r="F21" s="4" t="inlineStr">
        <is>
          <t>3LDK（図面・リハウス・KENとも3LDK。LDK約27.7帖＋WIC×3＋サービススペース）</t>
        </is>
      </c>
      <c r="G21" s="4" t="inlineStr">
        <is>
          <t>5階</t>
        </is>
      </c>
      <c r="H21" s="4" t="inlineStr">
        <is>
          <t>未確定：南西（リハウス）／北西（KEN）。図面の方位記号の目視では西寄り（南西～西）</t>
        </is>
      </c>
      <c r="I21" s="4" t="inlineStr">
        <is>
          <t>102,285円（管理費66,590＋修繕積立金33,550＋インターネット利用料2,145／図面値）※ポータルは修繕積立金30,500円で99,235円</t>
        </is>
      </c>
      <c r="J21" s="4" t="inlineStr">
        <is>
          <t>空室（築後未入居）・引渡即可</t>
        </is>
      </c>
      <c r="K21" s="4" t="inlineStr">
        <is>
          <t>葵開発（売主、手数料3%）</t>
        </is>
      </c>
      <c r="L21" s="4" t="n">
        <v>5</v>
      </c>
      <c r="M21" s="4" t="n">
        <v>15</v>
      </c>
      <c r="N21" s="4" t="n">
        <v>62</v>
      </c>
    </row>
    <row r="22">
      <c r="K22" s="5" t="inlineStr">
        <is>
          <t>写真枚数 合計</t>
        </is>
      </c>
      <c r="L22" s="5">
        <f>SUM(L5:L21)</f>
        <v/>
      </c>
      <c r="M22" s="5">
        <f>SUM(M5:M21)</f>
        <v/>
      </c>
      <c r="N22" s="5">
        <f>SUM(N5:N21)</f>
        <v/>
      </c>
    </row>
  </sheetData>
  <autoFilter ref="A4:N2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28" customWidth="1" min="4" max="4"/>
    <col width="40" customWidth="1" min="5" max="5"/>
    <col width="40" customWidth="1" min="6" max="6"/>
    <col width="50" customWidth="1" min="7" max="7"/>
    <col width="30" customWidth="1" min="8" max="8"/>
    <col width="10" customWidth="1" min="9" max="9"/>
  </cols>
  <sheetData>
    <row r="1">
      <c r="A1" s="1" t="inlineStr">
        <is>
          <t>未確認・食い違い一覧（全物件）</t>
        </is>
      </c>
    </row>
    <row r="3">
      <c r="A3" s="3" t="inlineStr">
        <is>
          <t>No</t>
        </is>
      </c>
      <c r="B3" s="3" t="inlineStr">
        <is>
          <t>マンション名</t>
        </is>
      </c>
      <c r="C3" s="3" t="inlineStr">
        <is>
          <t>区分</t>
        </is>
      </c>
      <c r="D3" s="3" t="inlineStr">
        <is>
          <t>項目</t>
        </is>
      </c>
      <c r="E3" s="3" t="inlineStr">
        <is>
          <t>情報源A</t>
        </is>
      </c>
      <c r="F3" s="3" t="inlineStr">
        <is>
          <t>情報源B</t>
        </is>
      </c>
      <c r="G3" s="3" t="inlineStr">
        <is>
          <t>裏取り結果</t>
        </is>
      </c>
      <c r="H3" s="3" t="inlineStr">
        <is>
          <t>採用候補</t>
        </is>
      </c>
      <c r="I3" s="3" t="inlineStr">
        <is>
          <t>状態</t>
        </is>
      </c>
    </row>
    <row r="4">
      <c r="A4" s="4" t="inlineStr">
        <is>
          <t>01</t>
        </is>
      </c>
      <c r="B4" s="4" t="inlineStr">
        <is>
          <t>高輪ザ・レジデンス</t>
        </is>
      </c>
      <c r="C4" s="4" t="inlineStr">
        <is>
          <t>食い違い</t>
        </is>
      </c>
      <c r="D4" s="4" t="inlineStr">
        <is>
          <t>44階 共有持分</t>
        </is>
      </c>
      <c r="E4" s="4" t="inlineStr">
        <is>
          <t>20,879/4,808,035（野村 A-p05）</t>
        </is>
      </c>
      <c r="F4" s="4" t="inlineStr">
        <is>
          <t>26,194/4,808,035（リバブル A-p06）</t>
        </is>
      </c>
      <c r="G4" s="4" t="inlineStr">
        <is>
          <t>持分＝専有面積×100で統一（46-47階285.25㎡→28,525）。26,194は261.94㎡と一致、20,879は同建物208.79㎡住戸の値と一致し野村図面の転記誤りの可能性大</t>
        </is>
      </c>
      <c r="H4" s="4" t="inlineStr">
        <is>
          <t>26,194/4,808,035（登記簿で最終確認）</t>
        </is>
      </c>
      <c r="I4" s="4" t="inlineStr">
        <is>
          <t>解消</t>
        </is>
      </c>
    </row>
    <row r="5">
      <c r="A5" s="4" t="inlineStr">
        <is>
          <t>01</t>
        </is>
      </c>
      <c r="B5" s="4" t="inlineStr">
        <is>
          <t>高輪ザ・レジデンス</t>
        </is>
      </c>
      <c r="C5" s="4" t="inlineStr">
        <is>
          <t>食い違い</t>
        </is>
      </c>
      <c r="D5" s="4" t="inlineStr">
        <is>
          <t>44階 間取り表記</t>
        </is>
      </c>
      <c r="E5" s="4" t="inlineStr">
        <is>
          <t>3LDK+4S+2WIC+SIC（JPE A-p04）／3LDK+S（リバブル A-p06）</t>
        </is>
      </c>
      <c r="F5" s="4" t="inlineStr">
        <is>
          <t>2LDK+5S+2WIC+SIC（野村 A-p05）</t>
        </is>
      </c>
      <c r="G5" s="4" t="inlineStr">
        <is>
          <t>西端の窓付き室を居室（リバブル図 Bedroom1）とするか納戸（野村図 Service room）とするかの差。公式表記は未確認</t>
        </is>
      </c>
      <c r="H5" s="4" t="inlineStr">
        <is>
          <t>2LDK+5S+2WIC+SIC（安全側）</t>
        </is>
      </c>
      <c r="I5" s="4" t="inlineStr">
        <is>
          <t>未確認</t>
        </is>
      </c>
    </row>
    <row r="6">
      <c r="A6" s="4" t="inlineStr">
        <is>
          <t>01</t>
        </is>
      </c>
      <c r="B6" s="4" t="inlineStr">
        <is>
          <t>高輪ザ・レジデンス</t>
        </is>
      </c>
      <c r="C6" s="4" t="inlineStr">
        <is>
          <t>食い違い</t>
        </is>
      </c>
      <c r="D6" s="4" t="inlineStr">
        <is>
          <t>用途地域</t>
        </is>
      </c>
      <c r="E6" s="4" t="inlineStr">
        <is>
          <t>商業のみ（RM）／第一種住居のみ（サザビーズ図面）／商業・第一種住居（ケン・リバブル）／商業・近隣商業（野村）</t>
        </is>
      </c>
      <c r="F6" s="4" t="inlineStr">
        <is>
          <t>商業・第一種住居・近隣商業（JPE A-p04）</t>
        </is>
      </c>
      <c r="G6" s="4" t="inlineStr">
        <is>
          <t>港区用途地域地区等図（令和8年3月）で高輪一丁目27番街区は商業・第一種住居・近隣商業の3種</t>
        </is>
      </c>
      <c r="H6" s="4" t="inlineStr">
        <is>
          <t>商業地域・第一種住居地域・近隣商業地域（面積割合は重説で確認）</t>
        </is>
      </c>
      <c r="I6" s="4" t="inlineStr">
        <is>
          <t>解消</t>
        </is>
      </c>
    </row>
    <row r="7">
      <c r="A7" s="4" t="inlineStr">
        <is>
          <t>01</t>
        </is>
      </c>
      <c r="B7" s="4" t="inlineStr">
        <is>
          <t>高輪ザ・レジデンス</t>
        </is>
      </c>
      <c r="C7" s="4" t="inlineStr">
        <is>
          <t>食い違い</t>
        </is>
      </c>
      <c r="D7" s="4" t="inlineStr">
        <is>
          <t>46・47階 管理費</t>
        </is>
      </c>
      <c r="E7" s="4" t="inlineStr">
        <is>
          <t>94,500円（ケン A-p01）</t>
        </is>
      </c>
      <c r="F7" s="4" t="inlineStr">
        <is>
          <t>93,000円＋1,500円（サザビーズ A-p02）</t>
        </is>
      </c>
      <c r="G7" s="4" t="inlineStr">
        <is>
          <t>合計同額</t>
        </is>
      </c>
      <c r="H7" s="4" t="inlineStr">
        <is>
          <t>94,500円</t>
        </is>
      </c>
      <c r="I7" s="4" t="inlineStr">
        <is>
          <t>解消</t>
        </is>
      </c>
    </row>
    <row r="8">
      <c r="A8" s="4" t="inlineStr">
        <is>
          <t>01</t>
        </is>
      </c>
      <c r="B8" s="4" t="inlineStr">
        <is>
          <t>高輪ザ・レジデンス</t>
        </is>
      </c>
      <c r="C8" s="4" t="inlineStr">
        <is>
          <t>食い違い</t>
        </is>
      </c>
      <c r="D8" s="4" t="inlineStr">
        <is>
          <t>46・47階 特定階負担金・月額合計</t>
        </is>
      </c>
      <c r="E8" s="4" t="inlineStr">
        <is>
          <t>記載なし・合計204,395円（ケン A-p01）</t>
        </is>
      </c>
      <c r="F8" s="4" t="inlineStr">
        <is>
          <t>6,732円（サザビーズ A-p02・HP）</t>
        </is>
      </c>
      <c r="G8" s="4" t="inlineStr">
        <is>
          <t>サザビーズHPに明記、㎡単価約23.6円で他住戸と整合</t>
        </is>
      </c>
      <c r="H8" s="4" t="inlineStr">
        <is>
          <t>211,127円</t>
        </is>
      </c>
      <c r="I8" s="4" t="inlineStr">
        <is>
          <t>解消</t>
        </is>
      </c>
    </row>
    <row r="9">
      <c r="A9" s="4" t="inlineStr">
        <is>
          <t>01</t>
        </is>
      </c>
      <c r="B9" s="4" t="inlineStr">
        <is>
          <t>高輪ザ・レジデンス</t>
        </is>
      </c>
      <c r="C9" s="4" t="inlineStr">
        <is>
          <t>食い違い</t>
        </is>
      </c>
      <c r="D9" s="4" t="inlineStr">
        <is>
          <t>駅徒歩（高輪台／白金台／高輪ゲートウェイ）</t>
        </is>
      </c>
      <c r="E9" s="4" t="inlineStr">
        <is>
          <t>7分／10分／16分（東京建物ライブラリー・ケン）</t>
        </is>
      </c>
      <c r="F9" s="4" t="inlineStr">
        <is>
          <t>6分／8分／11～14分（サザビーズ・RM・JPE・野村・リバブル）</t>
        </is>
      </c>
      <c r="G9" s="4" t="inlineStr">
        <is>
          <t>分譲会社系（東京建物）で高輪台7分・白金台10分・泉岳寺12分・品川16分。高輪ゲートウェイは公式値なし</t>
        </is>
      </c>
      <c r="H9" s="4" t="inlineStr">
        <is>
          <t>高輪台7分・白金台10分・白金高輪9分・泉岳寺12分・品川16分・高輪ゲートウェイ16分（安全側）</t>
        </is>
      </c>
      <c r="I9" s="4" t="inlineStr">
        <is>
          <t>一部未確認（高輪ゲートウェイ・白金高輪）</t>
        </is>
      </c>
    </row>
    <row r="10">
      <c r="A10" s="4" t="inlineStr">
        <is>
          <t>01</t>
        </is>
      </c>
      <c r="B10" s="4" t="inlineStr">
        <is>
          <t>高輪ザ・レジデンス</t>
        </is>
      </c>
      <c r="C10" s="4" t="inlineStr">
        <is>
          <t>食い違い</t>
        </is>
      </c>
      <c r="D10" s="4" t="inlineStr">
        <is>
          <t>43階 リノベ時期</t>
        </is>
      </c>
      <c r="E10" s="4" t="inlineStr">
        <is>
          <t>記載なし（RM）</t>
        </is>
      </c>
      <c r="F10" s="4" t="inlineStr">
        <is>
          <t>2025年12月（ケンHP）</t>
        </is>
      </c>
      <c r="G10" s="4" t="inlineStr">
        <is>
          <t>RM HP写真のアップロード時期（2025/01）と整合せず</t>
        </is>
      </c>
      <c r="H10" s="4" t="inlineStr">
        <is>
          <t>フルリノベーション済（時期は売主確認）</t>
        </is>
      </c>
      <c r="I10" s="4" t="inlineStr">
        <is>
          <t>未確認</t>
        </is>
      </c>
    </row>
    <row r="11">
      <c r="A11" s="4" t="inlineStr">
        <is>
          <t>01</t>
        </is>
      </c>
      <c r="B11" s="4" t="inlineStr">
        <is>
          <t>高輪ザ・レジデンス</t>
        </is>
      </c>
      <c r="C11" s="4" t="inlineStr">
        <is>
          <t>食い違い</t>
        </is>
      </c>
      <c r="D11" s="4" t="inlineStr">
        <is>
          <t>43階 月額合計</t>
        </is>
      </c>
      <c r="E11" s="4" t="inlineStr">
        <is>
          <t>記載なし（A-p08）</t>
        </is>
      </c>
      <c r="F11" s="4" t="inlineStr">
        <is>
          <t>その他費用なし（ケンHP）</t>
        </is>
      </c>
      <c r="G11" s="4" t="inlineStr">
        <is>
          <t>図面項目合計161,295円。特定階負担金の有無不明</t>
        </is>
      </c>
      <c r="H11" s="4" t="inlineStr">
        <is>
          <t>161,295円</t>
        </is>
      </c>
      <c r="I11" s="4" t="inlineStr">
        <is>
          <t>未確認</t>
        </is>
      </c>
    </row>
    <row r="12">
      <c r="A12" s="4" t="inlineStr">
        <is>
          <t>01</t>
        </is>
      </c>
      <c r="B12" s="4" t="inlineStr">
        <is>
          <t>高輪ザ・レジデンス</t>
        </is>
      </c>
      <c r="C12" s="4" t="inlineStr">
        <is>
          <t>食い違い</t>
        </is>
      </c>
      <c r="D12" s="4" t="inlineStr">
        <is>
          <t>43階 バルコニー面積</t>
        </is>
      </c>
      <c r="E12" s="4" t="inlineStr">
        <is>
          <t>19.81㎡（RM図面）</t>
        </is>
      </c>
      <c r="F12" s="4" t="inlineStr">
        <is>
          <t>19.81㎡（RM HP）</t>
        </is>
      </c>
      <c r="G12" s="4" t="inlineStr">
        <is>
          <t>一致</t>
        </is>
      </c>
      <c r="H12" s="4" t="inlineStr">
        <is>
          <t>19.81㎡</t>
        </is>
      </c>
      <c r="I12" s="4" t="inlineStr">
        <is>
          <t>解消</t>
        </is>
      </c>
    </row>
    <row r="13">
      <c r="A13" s="4" t="inlineStr">
        <is>
          <t>01</t>
        </is>
      </c>
      <c r="B13" s="4" t="inlineStr">
        <is>
          <t>高輪ザ・レジデンス</t>
        </is>
      </c>
      <c r="C13" s="4" t="inlineStr">
        <is>
          <t>食い違い</t>
        </is>
      </c>
      <c r="D13" s="4" t="inlineStr">
        <is>
          <t>制震・二重床二重天井・内廊下</t>
        </is>
      </c>
      <c r="E13" s="4" t="inlineStr">
        <is>
          <t>制震（リバブル図面・ケンHP）、二重床二重天井・内廊下（野村図面）</t>
        </is>
      </c>
      <c r="F13" s="4" t="inlineStr">
        <is>
          <t>野村図面に制震記載なし</t>
        </is>
      </c>
      <c r="G13" s="4" t="inlineStr">
        <is>
          <t>複数社で一致、施工・設計の公式資料未確認</t>
        </is>
      </c>
      <c r="H13" s="4" t="inlineStr">
        <is>
          <t>制震構造・二重床二重天井・内廊下</t>
        </is>
      </c>
      <c r="I13" s="4" t="inlineStr">
        <is>
          <t>未確認</t>
        </is>
      </c>
    </row>
    <row r="14">
      <c r="A14" s="4" t="inlineStr">
        <is>
          <t>01</t>
        </is>
      </c>
      <c r="B14" s="4" t="inlineStr">
        <is>
          <t>高輪ザ・レジデンス</t>
        </is>
      </c>
      <c r="C14" s="4" t="inlineStr">
        <is>
          <t>未確認</t>
        </is>
      </c>
      <c r="D14" s="4" t="inlineStr">
        <is>
          <t>44階 間取りの公式表記</t>
        </is>
      </c>
      <c r="E14" s="4" t="n"/>
      <c r="F14" s="4" t="n"/>
      <c r="G14" s="4" t="n"/>
      <c r="H14" s="4" t="n"/>
      <c r="I14" s="4" t="inlineStr">
        <is>
          <t>未確認</t>
        </is>
      </c>
    </row>
    <row r="15">
      <c r="A15" s="4" t="inlineStr">
        <is>
          <t>01</t>
        </is>
      </c>
      <c r="B15" s="4" t="inlineStr">
        <is>
          <t>高輪ザ・レジデンス</t>
        </is>
      </c>
      <c r="C15" s="4" t="inlineStr">
        <is>
          <t>未確認</t>
        </is>
      </c>
      <c r="D15" s="4" t="inlineStr">
        <is>
          <t>高輪ゲートウェイ駅・白金高輪駅の徒歩分数（公式値なし）</t>
        </is>
      </c>
      <c r="E15" s="4" t="n"/>
      <c r="F15" s="4" t="n"/>
      <c r="G15" s="4" t="n"/>
      <c r="H15" s="4" t="n"/>
      <c r="I15" s="4" t="inlineStr">
        <is>
          <t>未確認</t>
        </is>
      </c>
    </row>
    <row r="16">
      <c r="A16" s="4" t="inlineStr">
        <is>
          <t>01</t>
        </is>
      </c>
      <c r="B16" s="4" t="inlineStr">
        <is>
          <t>高輪ザ・レジデンス</t>
        </is>
      </c>
      <c r="C16" s="4" t="inlineStr">
        <is>
          <t>未確認</t>
        </is>
      </c>
      <c r="D16" s="4" t="inlineStr">
        <is>
          <t>43階 リノベ時期</t>
        </is>
      </c>
      <c r="E16" s="4" t="n"/>
      <c r="F16" s="4" t="n"/>
      <c r="G16" s="4" t="n"/>
      <c r="H16" s="4" t="n"/>
      <c r="I16" s="4" t="inlineStr">
        <is>
          <t>未確認</t>
        </is>
      </c>
    </row>
    <row r="17">
      <c r="A17" s="4" t="inlineStr">
        <is>
          <t>01</t>
        </is>
      </c>
      <c r="B17" s="4" t="inlineStr">
        <is>
          <t>高輪ザ・レジデンス</t>
        </is>
      </c>
      <c r="C17" s="4" t="inlineStr">
        <is>
          <t>未確認</t>
        </is>
      </c>
      <c r="D17" s="4" t="inlineStr">
        <is>
          <t>43階 特定階負担金の有無</t>
        </is>
      </c>
      <c r="E17" s="4" t="n"/>
      <c r="F17" s="4" t="n"/>
      <c r="G17" s="4" t="n"/>
      <c r="H17" s="4" t="n"/>
      <c r="I17" s="4" t="inlineStr">
        <is>
          <t>未確認</t>
        </is>
      </c>
    </row>
    <row r="18">
      <c r="A18" s="4" t="inlineStr">
        <is>
          <t>01</t>
        </is>
      </c>
      <c r="B18" s="4" t="inlineStr">
        <is>
          <t>高輪ザ・レジデンス</t>
        </is>
      </c>
      <c r="C18" s="4" t="inlineStr">
        <is>
          <t>未確認</t>
        </is>
      </c>
      <c r="D18" s="4" t="inlineStr">
        <is>
          <t>制震・二重床二重天井・内廊下の公式資料</t>
        </is>
      </c>
      <c r="E18" s="4" t="n"/>
      <c r="F18" s="4" t="n"/>
      <c r="G18" s="4" t="n"/>
      <c r="H18" s="4" t="n"/>
      <c r="I18" s="4" t="inlineStr">
        <is>
          <t>未確認</t>
        </is>
      </c>
    </row>
    <row r="19">
      <c r="A19" s="4" t="inlineStr">
        <is>
          <t>01</t>
        </is>
      </c>
      <c r="B19" s="4" t="inlineStr">
        <is>
          <t>高輪ザ・レジデンス</t>
        </is>
      </c>
      <c r="C19" s="4" t="inlineStr">
        <is>
          <t>未確認</t>
        </is>
      </c>
      <c r="D19" s="4" t="inlineStr">
        <is>
          <t>スパの階（1F/2F）</t>
        </is>
      </c>
      <c r="E19" s="4" t="n"/>
      <c r="F19" s="4" t="n"/>
      <c r="G19" s="4" t="n"/>
      <c r="H19" s="4" t="n"/>
      <c r="I19" s="4" t="inlineStr">
        <is>
          <t>未確認</t>
        </is>
      </c>
    </row>
    <row r="20">
      <c r="A20" s="4" t="inlineStr">
        <is>
          <t>01</t>
        </is>
      </c>
      <c r="B20" s="4" t="inlineStr">
        <is>
          <t>高輪ザ・レジデンス</t>
        </is>
      </c>
      <c r="C20" s="4" t="inlineStr">
        <is>
          <t>未確認</t>
        </is>
      </c>
      <c r="D20" s="4" t="inlineStr">
        <is>
          <t>総戸数574/575</t>
        </is>
      </c>
      <c r="E20" s="4" t="n"/>
      <c r="F20" s="4" t="n"/>
      <c r="G20" s="4" t="n"/>
      <c r="H20" s="4" t="n"/>
      <c r="I20" s="4" t="inlineStr">
        <is>
          <t>未確認</t>
        </is>
      </c>
    </row>
    <row r="21">
      <c r="A21" s="4" t="inlineStr">
        <is>
          <t>01</t>
        </is>
      </c>
      <c r="B21" s="4" t="inlineStr">
        <is>
          <t>高輪ザ・レジデンス</t>
        </is>
      </c>
      <c r="C21" s="4" t="inlineStr">
        <is>
          <t>未確認</t>
        </is>
      </c>
      <c r="D21" s="4" t="inlineStr">
        <is>
          <t>敷地面積9,161.22/9,051.54</t>
        </is>
      </c>
      <c r="E21" s="4" t="n"/>
      <c r="F21" s="4" t="n"/>
      <c r="G21" s="4" t="n"/>
      <c r="H21" s="4" t="n"/>
      <c r="I21" s="4" t="inlineStr">
        <is>
          <t>未確認</t>
        </is>
      </c>
    </row>
    <row r="22">
      <c r="A22" s="4" t="inlineStr">
        <is>
          <t>01</t>
        </is>
      </c>
      <c r="B22" s="4" t="inlineStr">
        <is>
          <t>高輪ザ・レジデンス</t>
        </is>
      </c>
      <c r="C22" s="4" t="inlineStr">
        <is>
          <t>未確認</t>
        </is>
      </c>
      <c r="D22" s="4" t="inlineStr">
        <is>
          <t>46-47階の向き表記</t>
        </is>
      </c>
      <c r="E22" s="4" t="n"/>
      <c r="F22" s="4" t="n"/>
      <c r="G22" s="4" t="n"/>
      <c r="H22" s="4" t="n"/>
      <c r="I22" s="4" t="inlineStr">
        <is>
          <t>未確認</t>
        </is>
      </c>
    </row>
    <row r="23">
      <c r="A23" s="4" t="inlineStr">
        <is>
          <t>01</t>
        </is>
      </c>
      <c r="B23" s="4" t="inlineStr">
        <is>
          <t>高輪ザ・レジデンス</t>
        </is>
      </c>
      <c r="C23" s="4" t="inlineStr">
        <is>
          <t>未確認</t>
        </is>
      </c>
      <c r="D23" s="4" t="inlineStr">
        <is>
          <t>駐車場の空き・料金・サイズ</t>
        </is>
      </c>
      <c r="E23" s="4" t="n"/>
      <c r="F23" s="4" t="n"/>
      <c r="G23" s="4" t="n"/>
      <c r="H23" s="4" t="n"/>
      <c r="I23" s="4" t="inlineStr">
        <is>
          <t>未確認</t>
        </is>
      </c>
    </row>
    <row r="24">
      <c r="A24" s="4" t="inlineStr">
        <is>
          <t>01</t>
        </is>
      </c>
      <c r="B24" s="4" t="inlineStr">
        <is>
          <t>高輪ザ・レジデンス</t>
        </is>
      </c>
      <c r="C24" s="4" t="inlineStr">
        <is>
          <t>未確認</t>
        </is>
      </c>
      <c r="D24" s="4" t="inlineStr">
        <is>
          <t>トランクルームの有無</t>
        </is>
      </c>
      <c r="E24" s="4" t="n"/>
      <c r="F24" s="4" t="n"/>
      <c r="G24" s="4" t="n"/>
      <c r="H24" s="4" t="n"/>
      <c r="I24" s="4" t="inlineStr">
        <is>
          <t>未確認</t>
        </is>
      </c>
    </row>
    <row r="25">
      <c r="A25" s="4" t="inlineStr">
        <is>
          <t>01</t>
        </is>
      </c>
      <c r="B25" s="4" t="inlineStr">
        <is>
          <t>高輪ザ・レジデンス</t>
        </is>
      </c>
      <c r="C25" s="4" t="inlineStr">
        <is>
          <t>未確認</t>
        </is>
      </c>
      <c r="D25" s="4" t="inlineStr">
        <is>
          <t>ハザード情報</t>
        </is>
      </c>
      <c r="E25" s="4" t="n"/>
      <c r="F25" s="4" t="n"/>
      <c r="G25" s="4" t="n"/>
      <c r="H25" s="4" t="n"/>
      <c r="I25" s="4" t="inlineStr">
        <is>
          <t>未確認</t>
        </is>
      </c>
    </row>
    <row r="26">
      <c r="A26" s="4" t="inlineStr">
        <is>
          <t>01</t>
        </is>
      </c>
      <c r="B26" s="4" t="inlineStr">
        <is>
          <t>高輪ザ・レジデンス</t>
        </is>
      </c>
      <c r="C26" s="4" t="inlineStr">
        <is>
          <t>未確認</t>
        </is>
      </c>
      <c r="D26" s="4" t="inlineStr">
        <is>
          <t>天井高</t>
        </is>
      </c>
      <c r="E26" s="4" t="n"/>
      <c r="F26" s="4" t="n"/>
      <c r="G26" s="4" t="n"/>
      <c r="H26" s="4" t="n"/>
      <c r="I26" s="4" t="inlineStr">
        <is>
          <t>未確認</t>
        </is>
      </c>
    </row>
    <row r="27">
      <c r="A27" s="4" t="inlineStr">
        <is>
          <t>01</t>
        </is>
      </c>
      <c r="B27" s="4" t="inlineStr">
        <is>
          <t>高輪ザ・レジデンス</t>
        </is>
      </c>
      <c r="C27" s="4" t="inlineStr">
        <is>
          <t>未確認</t>
        </is>
      </c>
      <c r="D27" s="4" t="inlineStr">
        <is>
          <t>大規模修繕の実施時期</t>
        </is>
      </c>
      <c r="E27" s="4" t="n"/>
      <c r="F27" s="4" t="n"/>
      <c r="G27" s="4" t="n"/>
      <c r="H27" s="4" t="n"/>
      <c r="I27" s="4" t="inlineStr">
        <is>
          <t>未確認</t>
        </is>
      </c>
    </row>
    <row r="28">
      <c r="A28" s="4" t="inlineStr">
        <is>
          <t>01</t>
        </is>
      </c>
      <c r="B28" s="4" t="inlineStr">
        <is>
          <t>高輪ザ・レジデンス</t>
        </is>
      </c>
      <c r="C28" s="4" t="inlineStr">
        <is>
          <t>未確認</t>
        </is>
      </c>
      <c r="D28" s="4" t="inlineStr">
        <is>
          <t>ペット細則の内容</t>
        </is>
      </c>
      <c r="E28" s="4" t="n"/>
      <c r="F28" s="4" t="n"/>
      <c r="G28" s="4" t="n"/>
      <c r="H28" s="4" t="n"/>
      <c r="I28" s="4" t="inlineStr">
        <is>
          <t>未確認</t>
        </is>
      </c>
    </row>
    <row r="29">
      <c r="A29" s="4" t="inlineStr">
        <is>
          <t>01</t>
        </is>
      </c>
      <c r="B29" s="4" t="inlineStr">
        <is>
          <t>高輪ザ・レジデンス</t>
        </is>
      </c>
      <c r="C29" s="4" t="inlineStr">
        <is>
          <t>未確認</t>
        </is>
      </c>
      <c r="D29" s="4" t="inlineStr">
        <is>
          <t>中学校学区</t>
        </is>
      </c>
      <c r="E29" s="4" t="n"/>
      <c r="F29" s="4" t="n"/>
      <c r="G29" s="4" t="n"/>
      <c r="H29" s="4" t="n"/>
      <c r="I29" s="4" t="inlineStr">
        <is>
          <t>未確認</t>
        </is>
      </c>
    </row>
    <row r="30">
      <c r="A30" s="4" t="inlineStr">
        <is>
          <t>01</t>
        </is>
      </c>
      <c r="B30" s="4" t="inlineStr">
        <is>
          <t>高輪ザ・レジデンス</t>
        </is>
      </c>
      <c r="C30" s="4" t="inlineStr">
        <is>
          <t>未確認</t>
        </is>
      </c>
      <c r="D30" s="4" t="inlineStr">
        <is>
          <t>J・P・E自社HP（該当ページなし）</t>
        </is>
      </c>
      <c r="E30" s="4" t="n"/>
      <c r="F30" s="4" t="n"/>
      <c r="G30" s="4" t="n"/>
      <c r="H30" s="4" t="n"/>
      <c r="I30" s="4" t="inlineStr">
        <is>
          <t>未確認</t>
        </is>
      </c>
    </row>
    <row r="31">
      <c r="A31" s="4" t="inlineStr">
        <is>
          <t>01</t>
        </is>
      </c>
      <c r="B31" s="4" t="inlineStr">
        <is>
          <t>高輪ザ・レジデンス</t>
        </is>
      </c>
      <c r="C31" s="4" t="inlineStr">
        <is>
          <t>未確認</t>
        </is>
      </c>
      <c r="D31" s="4" t="inlineStr">
        <is>
          <t>室内設備メーカー</t>
        </is>
      </c>
      <c r="E31" s="4" t="n"/>
      <c r="F31" s="4" t="n"/>
      <c r="G31" s="4" t="n"/>
      <c r="H31" s="4" t="n"/>
      <c r="I31" s="4" t="inlineStr">
        <is>
          <t>未確認</t>
        </is>
      </c>
    </row>
    <row r="32">
      <c r="A32" s="4" t="inlineStr">
        <is>
          <t>02</t>
        </is>
      </c>
      <c r="B32" s="4" t="inlineStr">
        <is>
          <t>アクシア青山</t>
        </is>
      </c>
      <c r="C32" s="4" t="inlineStr">
        <is>
          <t>食い違い</t>
        </is>
      </c>
      <c r="D32" s="4" t="inlineStr">
        <is>
          <t>地上階数</t>
        </is>
      </c>
      <c r="E32" s="4" t="inlineStr">
        <is>
          <t>地上20階地下1階（図面A-p03・元付HP・SUUMO・KEN等）</t>
        </is>
      </c>
      <c r="F32" s="4" t="inlineStr">
        <is>
          <t>地上21階地下1階（UG設計者実績・建物記録・リバブル・三菱地所等）</t>
        </is>
      </c>
      <c r="G32" s="4" t="inlineStr">
        <is>
          <t>21階部分の用途未確認</t>
        </is>
      </c>
      <c r="H32" s="4" t="inlineStr">
        <is>
          <t>地上20階地下1階建（図面）。最上階表記は慎重に</t>
        </is>
      </c>
      <c r="I32" s="4" t="inlineStr">
        <is>
          <t>未確認</t>
        </is>
      </c>
    </row>
    <row r="33">
      <c r="A33" s="4" t="inlineStr">
        <is>
          <t>02</t>
        </is>
      </c>
      <c r="B33" s="4" t="inlineStr">
        <is>
          <t>アクシア青山</t>
        </is>
      </c>
      <c r="C33" s="4" t="inlineStr">
        <is>
          <t>食い違い</t>
        </is>
      </c>
      <c r="D33" s="4" t="inlineStr">
        <is>
          <t>竣工年月</t>
        </is>
      </c>
      <c r="E33" s="4" t="inlineStr">
        <is>
          <t>2002年5月（図面・元付HP・SUUMO・KEN）</t>
        </is>
      </c>
      <c r="F33" s="4" t="inlineStr">
        <is>
          <t>2002年6月（元付ライブラリ・リバブル・建物記録）</t>
        </is>
      </c>
      <c r="G33" s="4" t="inlineStr">
        <is>
          <t>UG業務期間は2002.05まで</t>
        </is>
      </c>
      <c r="H33" s="4" t="inlineStr">
        <is>
          <t>2002年5月</t>
        </is>
      </c>
      <c r="I33" s="4" t="inlineStr">
        <is>
          <t>未確認</t>
        </is>
      </c>
    </row>
    <row r="34">
      <c r="A34" s="4" t="inlineStr">
        <is>
          <t>02</t>
        </is>
      </c>
      <c r="B34" s="4" t="inlineStr">
        <is>
          <t>アクシア青山</t>
        </is>
      </c>
      <c r="C34" s="4" t="inlineStr">
        <is>
          <t>食い違い</t>
        </is>
      </c>
      <c r="D34" s="4" t="inlineStr">
        <is>
          <t>総戸数</t>
        </is>
      </c>
      <c r="E34" s="4" t="inlineStr">
        <is>
          <t>103戸（図面・各ポータル）</t>
        </is>
      </c>
      <c r="F34" s="4" t="inlineStr">
        <is>
          <t>住戸数100戸（UG）</t>
        </is>
      </c>
      <c r="G34" s="4" t="inlineStr">
        <is>
          <t>未解決</t>
        </is>
      </c>
      <c r="H34" s="4" t="inlineStr">
        <is>
          <t>103戸</t>
        </is>
      </c>
      <c r="I34" s="4" t="inlineStr">
        <is>
          <t>未確認</t>
        </is>
      </c>
    </row>
    <row r="35">
      <c r="A35" s="4" t="inlineStr">
        <is>
          <t>02</t>
        </is>
      </c>
      <c r="B35" s="4" t="inlineStr">
        <is>
          <t>アクシア青山</t>
        </is>
      </c>
      <c r="C35" s="4" t="inlineStr">
        <is>
          <t>食い違い</t>
        </is>
      </c>
      <c r="D35" s="4" t="inlineStr">
        <is>
          <t>駅徒歩</t>
        </is>
      </c>
      <c r="E35" s="4" t="inlineStr">
        <is>
          <t>青山一丁目4分・乃木坂7分・外苑前11分（図面・元付HP・SUUMO）</t>
        </is>
      </c>
      <c r="F35" s="4" t="inlineStr">
        <is>
          <t>青山一丁目2分等（KEN・リバブル・大京穴吹）</t>
        </is>
      </c>
      <c r="G35" s="4" t="inlineStr">
        <is>
          <t>2022年表示規約改正の注記あり</t>
        </is>
      </c>
      <c r="H35" s="4" t="inlineStr">
        <is>
          <t>元付現行表示</t>
        </is>
      </c>
      <c r="I35" s="4" t="inlineStr">
        <is>
          <t>解消</t>
        </is>
      </c>
    </row>
    <row r="36">
      <c r="A36" s="4" t="inlineStr">
        <is>
          <t>02</t>
        </is>
      </c>
      <c r="B36" s="4" t="inlineStr">
        <is>
          <t>アクシア青山</t>
        </is>
      </c>
      <c r="C36" s="4" t="inlineStr">
        <is>
          <t>食い違い</t>
        </is>
      </c>
      <c r="D36" s="4" t="inlineStr">
        <is>
          <t>間取り</t>
        </is>
      </c>
      <c r="E36" s="4" t="inlineStr">
        <is>
          <t>5LDK（図面・元付HP・SUUMO）</t>
        </is>
      </c>
      <c r="F36" s="4" t="inlineStr">
        <is>
          <t>4LDK+FAMILY ROOM（KEN過去賃貸ページタイトル）</t>
        </is>
      </c>
      <c r="G36" s="4" t="inlineStr">
        <is>
          <t>間取図でファミリールームを含め5居室を確認</t>
        </is>
      </c>
      <c r="H36" s="4" t="inlineStr">
        <is>
          <t>5LDK</t>
        </is>
      </c>
      <c r="I36" s="4" t="inlineStr">
        <is>
          <t>解消</t>
        </is>
      </c>
    </row>
    <row r="37">
      <c r="A37" s="4" t="inlineStr">
        <is>
          <t>02</t>
        </is>
      </c>
      <c r="B37" s="4" t="inlineStr">
        <is>
          <t>アクシア青山</t>
        </is>
      </c>
      <c r="C37" s="4" t="inlineStr">
        <is>
          <t>食い違い</t>
        </is>
      </c>
      <c r="D37" s="4" t="inlineStr">
        <is>
          <t>トイレ数</t>
        </is>
      </c>
      <c r="E37" s="4" t="inlineStr">
        <is>
          <t>3か所（図面・間取図）</t>
        </is>
      </c>
      <c r="F37" s="4" t="inlineStr">
        <is>
          <t>2箇所（元付HP設備欄・SUUMO特徴）</t>
        </is>
      </c>
      <c r="G37" s="4" t="inlineStr">
        <is>
          <t>間取図で3か所確認</t>
        </is>
      </c>
      <c r="H37" s="4" t="inlineStr">
        <is>
          <t>3か所</t>
        </is>
      </c>
      <c r="I37" s="4" t="inlineStr">
        <is>
          <t>解消</t>
        </is>
      </c>
    </row>
    <row r="38">
      <c r="A38" s="4" t="inlineStr">
        <is>
          <t>02</t>
        </is>
      </c>
      <c r="B38" s="4" t="inlineStr">
        <is>
          <t>アクシア青山</t>
        </is>
      </c>
      <c r="C38" s="4" t="inlineStr">
        <is>
          <t>食い違い</t>
        </is>
      </c>
      <c r="D38" s="4" t="inlineStr">
        <is>
          <t>新築時売主・施工</t>
        </is>
      </c>
      <c r="E38" s="4" t="inlineStr">
        <is>
          <t>豊田通商／新日本製鉄・飛島建設（図面）</t>
        </is>
      </c>
      <c r="F38" s="4" t="inlineStr">
        <is>
          <t>事業主 豊田通商／施工 新日本製鐵・飛島建設（UG設計者実績）</t>
        </is>
      </c>
      <c r="G38" s="4" t="inlineStr">
        <is>
          <t>一致</t>
        </is>
      </c>
      <c r="H38" s="4" t="inlineStr">
        <is>
          <t>豊田通商(株)／新日本製鐵(株)・飛島建設(株)</t>
        </is>
      </c>
      <c r="I38" s="4" t="inlineStr">
        <is>
          <t>解消</t>
        </is>
      </c>
    </row>
    <row r="39">
      <c r="A39" s="4" t="inlineStr">
        <is>
          <t>02</t>
        </is>
      </c>
      <c r="B39" s="4" t="inlineStr">
        <is>
          <t>アクシア青山</t>
        </is>
      </c>
      <c r="C39" s="4" t="inlineStr">
        <is>
          <t>食い違い</t>
        </is>
      </c>
      <c r="D39" s="4" t="inlineStr">
        <is>
          <t>構造</t>
        </is>
      </c>
      <c r="E39" s="4" t="inlineStr">
        <is>
          <t>RC造（図面・UG）</t>
        </is>
      </c>
      <c r="F39" s="4" t="inlineStr">
        <is>
          <t>RC一部S（リバブル等）・SRC（クレアビジョン）</t>
        </is>
      </c>
      <c r="G39" s="4" t="inlineStr">
        <is>
          <t>設計者UGはRC造</t>
        </is>
      </c>
      <c r="H39" s="4" t="inlineStr">
        <is>
          <t>RC造</t>
        </is>
      </c>
      <c r="I39" s="4" t="inlineStr">
        <is>
          <t>解消</t>
        </is>
      </c>
    </row>
    <row r="40">
      <c r="A40" s="4" t="inlineStr">
        <is>
          <t>02</t>
        </is>
      </c>
      <c r="B40" s="4" t="inlineStr">
        <is>
          <t>アクシア青山</t>
        </is>
      </c>
      <c r="C40" s="4" t="inlineStr">
        <is>
          <t>食い違い</t>
        </is>
      </c>
      <c r="D40" s="4" t="inlineStr">
        <is>
          <t>管理形態</t>
        </is>
      </c>
      <c r="E40" s="4" t="inlineStr">
        <is>
          <t>日勤（図面・元付HP）</t>
        </is>
      </c>
      <c r="F40" s="4" t="inlineStr">
        <is>
          <t>24時間有人管理・夜間警備員（図面特徴）、SUUMO委託(通勤)</t>
        </is>
      </c>
      <c r="G40" s="4" t="inlineStr">
        <is>
          <t>管理員日勤＋夜間警備員と解釈</t>
        </is>
      </c>
      <c r="H40" s="4" t="inlineStr">
        <is>
          <t>日勤・24時間有人管理（夜間警備員）</t>
        </is>
      </c>
      <c r="I40" s="4" t="inlineStr">
        <is>
          <t>解消</t>
        </is>
      </c>
    </row>
    <row r="41">
      <c r="A41" s="4" t="inlineStr">
        <is>
          <t>02</t>
        </is>
      </c>
      <c r="B41" s="4" t="inlineStr">
        <is>
          <t>アクシア青山</t>
        </is>
      </c>
      <c r="C41" s="4" t="inlineStr">
        <is>
          <t>食い違い</t>
        </is>
      </c>
      <c r="D41" s="4" t="inlineStr">
        <is>
          <t>ペット</t>
        </is>
      </c>
      <c r="E41" s="4" t="inlineStr">
        <is>
          <t>不可（図面・元付HP）</t>
        </is>
      </c>
      <c r="F41" s="4" t="inlineStr">
        <is>
          <t>小鳥2羽・観賞魚・盲導犬のみ可（住まいの教科書）</t>
        </is>
      </c>
      <c r="G41" s="4" t="inlineStr">
        <is>
          <t>規約原本未確認</t>
        </is>
      </c>
      <c r="H41" s="4" t="inlineStr">
        <is>
          <t>ペット不可</t>
        </is>
      </c>
      <c r="I41" s="4" t="inlineStr">
        <is>
          <t>未確認</t>
        </is>
      </c>
    </row>
    <row r="42">
      <c r="A42" s="4" t="inlineStr">
        <is>
          <t>02</t>
        </is>
      </c>
      <c r="B42" s="4" t="inlineStr">
        <is>
          <t>アクシア青山</t>
        </is>
      </c>
      <c r="C42" s="4" t="inlineStr">
        <is>
          <t>食い違い</t>
        </is>
      </c>
      <c r="D42" s="4" t="inlineStr">
        <is>
          <t>用途地域</t>
        </is>
      </c>
      <c r="E42" s="4" t="inlineStr">
        <is>
          <t>商業・第二種住居（図面）</t>
        </is>
      </c>
      <c r="F42" s="4" t="inlineStr">
        <is>
          <t>商業（SUUMO）</t>
        </is>
      </c>
      <c r="G42" s="4" t="inlineStr">
        <is>
          <t>港区都市計画図未確認</t>
        </is>
      </c>
      <c r="H42" s="4" t="inlineStr">
        <is>
          <t>商業地域・第二種住居地域</t>
        </is>
      </c>
      <c r="I42" s="4" t="inlineStr">
        <is>
          <t>未確認</t>
        </is>
      </c>
    </row>
    <row r="43">
      <c r="A43" s="4" t="inlineStr">
        <is>
          <t>02</t>
        </is>
      </c>
      <c r="B43" s="4" t="inlineStr">
        <is>
          <t>アクシア青山</t>
        </is>
      </c>
      <c r="C43" s="4" t="inlineStr">
        <is>
          <t>食い違い</t>
        </is>
      </c>
      <c r="D43" s="4" t="inlineStr">
        <is>
          <t>免震・制震</t>
        </is>
      </c>
      <c r="E43" s="4" t="inlineStr">
        <is>
          <t>記載なし（図面・UG）</t>
        </is>
      </c>
      <c r="F43" s="4" t="inlineStr">
        <is>
          <t>免震・制震（クレアビジョン設備欄）</t>
        </is>
      </c>
      <c r="G43" s="4" t="inlineStr">
        <is>
          <t>裏付けなし</t>
        </is>
      </c>
      <c r="H43" s="4" t="inlineStr">
        <is>
          <t>記載しない</t>
        </is>
      </c>
      <c r="I43" s="4" t="inlineStr">
        <is>
          <t>未確認</t>
        </is>
      </c>
    </row>
    <row r="44">
      <c r="A44" s="4" t="inlineStr">
        <is>
          <t>02</t>
        </is>
      </c>
      <c r="B44" s="4" t="inlineStr">
        <is>
          <t>アクシア青山</t>
        </is>
      </c>
      <c r="C44" s="4" t="inlineStr">
        <is>
          <t>食い違い</t>
        </is>
      </c>
      <c r="D44" s="4" t="inlineStr">
        <is>
          <t>テラス使用料・駐車場</t>
        </is>
      </c>
      <c r="E44" s="4" t="inlineStr">
        <is>
          <t>2,500円／52,000円（図面）</t>
        </is>
      </c>
      <c r="F44" s="4" t="inlineStr">
        <is>
          <t>2,500円／52,000円（元付HP・SUUMO）</t>
        </is>
      </c>
      <c r="G44" s="4" t="inlineStr">
        <is>
          <t>一致</t>
        </is>
      </c>
      <c r="H44" s="4" t="inlineStr">
        <is>
          <t>2,500円／52,000円（車種による）</t>
        </is>
      </c>
      <c r="I44" s="4" t="inlineStr">
        <is>
          <t>解消</t>
        </is>
      </c>
    </row>
    <row r="45">
      <c r="A45" s="4" t="inlineStr">
        <is>
          <t>02</t>
        </is>
      </c>
      <c r="B45" s="4" t="inlineStr">
        <is>
          <t>アクシア青山</t>
        </is>
      </c>
      <c r="C45" s="4" t="inlineStr">
        <is>
          <t>未確認</t>
        </is>
      </c>
      <c r="D45" s="4" t="inlineStr">
        <is>
          <t>地上20階/21階の差</t>
        </is>
      </c>
      <c r="E45" s="4" t="n"/>
      <c r="F45" s="4" t="n"/>
      <c r="G45" s="4" t="n"/>
      <c r="H45" s="4" t="n"/>
      <c r="I45" s="4" t="inlineStr">
        <is>
          <t>未確認</t>
        </is>
      </c>
    </row>
    <row r="46">
      <c r="A46" s="4" t="inlineStr">
        <is>
          <t>02</t>
        </is>
      </c>
      <c r="B46" s="4" t="inlineStr">
        <is>
          <t>アクシア青山</t>
        </is>
      </c>
      <c r="C46" s="4" t="inlineStr">
        <is>
          <t>未確認</t>
        </is>
      </c>
      <c r="D46" s="4" t="inlineStr">
        <is>
          <t>竣工年月5月/6月</t>
        </is>
      </c>
      <c r="E46" s="4" t="n"/>
      <c r="F46" s="4" t="n"/>
      <c r="G46" s="4" t="n"/>
      <c r="H46" s="4" t="n"/>
      <c r="I46" s="4" t="inlineStr">
        <is>
          <t>未確認</t>
        </is>
      </c>
    </row>
    <row r="47">
      <c r="A47" s="4" t="inlineStr">
        <is>
          <t>02</t>
        </is>
      </c>
      <c r="B47" s="4" t="inlineStr">
        <is>
          <t>アクシア青山</t>
        </is>
      </c>
      <c r="C47" s="4" t="inlineStr">
        <is>
          <t>未確認</t>
        </is>
      </c>
      <c r="D47" s="4" t="inlineStr">
        <is>
          <t>総戸数103/100</t>
        </is>
      </c>
      <c r="E47" s="4" t="n"/>
      <c r="F47" s="4" t="n"/>
      <c r="G47" s="4" t="n"/>
      <c r="H47" s="4" t="n"/>
      <c r="I47" s="4" t="inlineStr">
        <is>
          <t>未確認</t>
        </is>
      </c>
    </row>
    <row r="48">
      <c r="A48" s="4" t="inlineStr">
        <is>
          <t>02</t>
        </is>
      </c>
      <c r="B48" s="4" t="inlineStr">
        <is>
          <t>アクシア青山</t>
        </is>
      </c>
      <c r="C48" s="4" t="inlineStr">
        <is>
          <t>未確認</t>
        </is>
      </c>
      <c r="D48" s="4" t="inlineStr">
        <is>
          <t>大規模修繕の実施時期・予定</t>
        </is>
      </c>
      <c r="E48" s="4" t="n"/>
      <c r="F48" s="4" t="n"/>
      <c r="G48" s="4" t="n"/>
      <c r="H48" s="4" t="n"/>
      <c r="I48" s="4" t="inlineStr">
        <is>
          <t>未確認</t>
        </is>
      </c>
    </row>
    <row r="49">
      <c r="A49" s="4" t="inlineStr">
        <is>
          <t>02</t>
        </is>
      </c>
      <c r="B49" s="4" t="inlineStr">
        <is>
          <t>アクシア青山</t>
        </is>
      </c>
      <c r="C49" s="4" t="inlineStr">
        <is>
          <t>未確認</t>
        </is>
      </c>
      <c r="D49" s="4" t="inlineStr">
        <is>
          <t>免震・制震の有無</t>
        </is>
      </c>
      <c r="E49" s="4" t="n"/>
      <c r="F49" s="4" t="n"/>
      <c r="G49" s="4" t="n"/>
      <c r="H49" s="4" t="n"/>
      <c r="I49" s="4" t="inlineStr">
        <is>
          <t>未確認</t>
        </is>
      </c>
    </row>
    <row r="50">
      <c r="A50" s="4" t="inlineStr">
        <is>
          <t>02</t>
        </is>
      </c>
      <c r="B50" s="4" t="inlineStr">
        <is>
          <t>アクシア青山</t>
        </is>
      </c>
      <c r="C50" s="4" t="inlineStr">
        <is>
          <t>未確認</t>
        </is>
      </c>
      <c r="D50" s="4" t="inlineStr">
        <is>
          <t>天井高</t>
        </is>
      </c>
      <c r="E50" s="4" t="n"/>
      <c r="F50" s="4" t="n"/>
      <c r="G50" s="4" t="n"/>
      <c r="H50" s="4" t="n"/>
      <c r="I50" s="4" t="inlineStr">
        <is>
          <t>未確認</t>
        </is>
      </c>
    </row>
    <row r="51">
      <c r="A51" s="4" t="inlineStr">
        <is>
          <t>02</t>
        </is>
      </c>
      <c r="B51" s="4" t="inlineStr">
        <is>
          <t>アクシア青山</t>
        </is>
      </c>
      <c r="C51" s="4" t="inlineStr">
        <is>
          <t>未確認</t>
        </is>
      </c>
      <c r="D51" s="4" t="inlineStr">
        <is>
          <t>建築面積</t>
        </is>
      </c>
      <c r="E51" s="4" t="n"/>
      <c r="F51" s="4" t="n"/>
      <c r="G51" s="4" t="n"/>
      <c r="H51" s="4" t="n"/>
      <c r="I51" s="4" t="inlineStr">
        <is>
          <t>未確認</t>
        </is>
      </c>
    </row>
    <row r="52">
      <c r="A52" s="4" t="inlineStr">
        <is>
          <t>02</t>
        </is>
      </c>
      <c r="B52" s="4" t="inlineStr">
        <is>
          <t>アクシア青山</t>
        </is>
      </c>
      <c r="C52" s="4" t="inlineStr">
        <is>
          <t>未確認</t>
        </is>
      </c>
      <c r="D52" s="4" t="inlineStr">
        <is>
          <t>各階ゴミ置場の有無</t>
        </is>
      </c>
      <c r="E52" s="4" t="n"/>
      <c r="F52" s="4" t="n"/>
      <c r="G52" s="4" t="n"/>
      <c r="H52" s="4" t="n"/>
      <c r="I52" s="4" t="inlineStr">
        <is>
          <t>未確認</t>
        </is>
      </c>
    </row>
    <row r="53">
      <c r="A53" s="4" t="inlineStr">
        <is>
          <t>02</t>
        </is>
      </c>
      <c r="B53" s="4" t="inlineStr">
        <is>
          <t>アクシア青山</t>
        </is>
      </c>
      <c r="C53" s="4" t="inlineStr">
        <is>
          <t>未確認</t>
        </is>
      </c>
      <c r="D53" s="4" t="inlineStr">
        <is>
          <t>ペット細則（小動物）</t>
        </is>
      </c>
      <c r="E53" s="4" t="n"/>
      <c r="F53" s="4" t="n"/>
      <c r="G53" s="4" t="n"/>
      <c r="H53" s="4" t="n"/>
      <c r="I53" s="4" t="inlineStr">
        <is>
          <t>未確認</t>
        </is>
      </c>
    </row>
    <row r="54">
      <c r="A54" s="4" t="inlineStr">
        <is>
          <t>02</t>
        </is>
      </c>
      <c r="B54" s="4" t="inlineStr">
        <is>
          <t>アクシア青山</t>
        </is>
      </c>
      <c r="C54" s="4" t="inlineStr">
        <is>
          <t>未確認</t>
        </is>
      </c>
      <c r="D54" s="4" t="inlineStr">
        <is>
          <t>英字表記の公式確認</t>
        </is>
      </c>
      <c r="E54" s="4" t="n"/>
      <c r="F54" s="4" t="n"/>
      <c r="G54" s="4" t="n"/>
      <c r="H54" s="4" t="n"/>
      <c r="I54" s="4" t="inlineStr">
        <is>
          <t>未確認</t>
        </is>
      </c>
    </row>
    <row r="55">
      <c r="A55" s="4" t="inlineStr">
        <is>
          <t>02</t>
        </is>
      </c>
      <c r="B55" s="4" t="inlineStr">
        <is>
          <t>アクシア青山</t>
        </is>
      </c>
      <c r="C55" s="4" t="inlineStr">
        <is>
          <t>未確認</t>
        </is>
      </c>
      <c r="D55" s="4" t="inlineStr">
        <is>
          <t>ゲストルーム・ラウンジの利用条件</t>
        </is>
      </c>
      <c r="E55" s="4" t="n"/>
      <c r="F55" s="4" t="n"/>
      <c r="G55" s="4" t="n"/>
      <c r="H55" s="4" t="n"/>
      <c r="I55" s="4" t="inlineStr">
        <is>
          <t>未確認</t>
        </is>
      </c>
    </row>
    <row r="56">
      <c r="A56" s="4" t="inlineStr">
        <is>
          <t>02</t>
        </is>
      </c>
      <c r="B56" s="4" t="inlineStr">
        <is>
          <t>アクシア青山</t>
        </is>
      </c>
      <c r="C56" s="4" t="inlineStr">
        <is>
          <t>未確認</t>
        </is>
      </c>
      <c r="D56" s="4" t="inlineStr">
        <is>
          <t>トランクルームの有無</t>
        </is>
      </c>
      <c r="E56" s="4" t="n"/>
      <c r="F56" s="4" t="n"/>
      <c r="G56" s="4" t="n"/>
      <c r="H56" s="4" t="n"/>
      <c r="I56" s="4" t="inlineStr">
        <is>
          <t>未確認</t>
        </is>
      </c>
    </row>
    <row r="57">
      <c r="A57" s="4" t="inlineStr">
        <is>
          <t>02</t>
        </is>
      </c>
      <c r="B57" s="4" t="inlineStr">
        <is>
          <t>アクシア青山</t>
        </is>
      </c>
      <c r="C57" s="4" t="inlineStr">
        <is>
          <t>未確認</t>
        </is>
      </c>
      <c r="D57" s="4" t="inlineStr">
        <is>
          <t>内水氾濫・液状化の地点確認</t>
        </is>
      </c>
      <c r="E57" s="4" t="n"/>
      <c r="F57" s="4" t="n"/>
      <c r="G57" s="4" t="n"/>
      <c r="H57" s="4" t="n"/>
      <c r="I57" s="4" t="inlineStr">
        <is>
          <t>未確認</t>
        </is>
      </c>
    </row>
    <row r="58">
      <c r="A58" s="4" t="inlineStr">
        <is>
          <t>02</t>
        </is>
      </c>
      <c r="B58" s="4" t="inlineStr">
        <is>
          <t>アクシア青山</t>
        </is>
      </c>
      <c r="C58" s="4" t="inlineStr">
        <is>
          <t>未確認</t>
        </is>
      </c>
      <c r="D58" s="4" t="inlineStr">
        <is>
          <t>20階リフォーム履歴</t>
        </is>
      </c>
      <c r="E58" s="4" t="n"/>
      <c r="F58" s="4" t="n"/>
      <c r="G58" s="4" t="n"/>
      <c r="H58" s="4" t="n"/>
      <c r="I58" s="4" t="inlineStr">
        <is>
          <t>未確認</t>
        </is>
      </c>
    </row>
    <row r="59">
      <c r="A59" s="4" t="inlineStr">
        <is>
          <t>02</t>
        </is>
      </c>
      <c r="B59" s="4" t="inlineStr">
        <is>
          <t>アクシア青山</t>
        </is>
      </c>
      <c r="C59" s="4" t="inlineStr">
        <is>
          <t>未確認</t>
        </is>
      </c>
      <c r="D59" s="4" t="inlineStr">
        <is>
          <t>室内設備メーカー名</t>
        </is>
      </c>
      <c r="E59" s="4" t="n"/>
      <c r="F59" s="4" t="n"/>
      <c r="G59" s="4" t="n"/>
      <c r="H59" s="4" t="n"/>
      <c r="I59" s="4" t="inlineStr">
        <is>
          <t>未確認</t>
        </is>
      </c>
    </row>
    <row r="60">
      <c r="A60" s="4" t="inlineStr">
        <is>
          <t>02</t>
        </is>
      </c>
      <c r="B60" s="4" t="inlineStr">
        <is>
          <t>アクシア青山</t>
        </is>
      </c>
      <c r="C60" s="4" t="inlineStr">
        <is>
          <t>未確認</t>
        </is>
      </c>
      <c r="D60" s="4" t="inlineStr">
        <is>
          <t>家具相談の有無</t>
        </is>
      </c>
      <c r="E60" s="4" t="n"/>
      <c r="F60" s="4" t="n"/>
      <c r="G60" s="4" t="n"/>
      <c r="H60" s="4" t="n"/>
      <c r="I60" s="4" t="inlineStr">
        <is>
          <t>未確認</t>
        </is>
      </c>
    </row>
    <row r="61">
      <c r="A61" s="4" t="inlineStr">
        <is>
          <t>02</t>
        </is>
      </c>
      <c r="B61" s="4" t="inlineStr">
        <is>
          <t>アクシア青山</t>
        </is>
      </c>
      <c r="C61" s="4" t="inlineStr">
        <is>
          <t>未確認</t>
        </is>
      </c>
      <c r="D61" s="4" t="inlineStr">
        <is>
          <t>デザイン監修</t>
        </is>
      </c>
      <c r="E61" s="4" t="n"/>
      <c r="F61" s="4" t="n"/>
      <c r="G61" s="4" t="n"/>
      <c r="H61" s="4" t="n"/>
      <c r="I61" s="4" t="inlineStr">
        <is>
          <t>未確認</t>
        </is>
      </c>
    </row>
    <row r="62">
      <c r="A62" s="4" t="inlineStr">
        <is>
          <t>02</t>
        </is>
      </c>
      <c r="B62" s="4" t="inlineStr">
        <is>
          <t>アクシア青山</t>
        </is>
      </c>
      <c r="C62" s="4" t="inlineStr">
        <is>
          <t>未確認</t>
        </is>
      </c>
      <c r="D62" s="4" t="inlineStr">
        <is>
          <t>コンシェルジュ受付時間</t>
        </is>
      </c>
      <c r="E62" s="4" t="n"/>
      <c r="F62" s="4" t="n"/>
      <c r="G62" s="4" t="n"/>
      <c r="H62" s="4" t="n"/>
      <c r="I62" s="4" t="inlineStr">
        <is>
          <t>未確認</t>
        </is>
      </c>
    </row>
    <row r="63">
      <c r="A63" s="4" t="inlineStr">
        <is>
          <t>03</t>
        </is>
      </c>
      <c r="B63" s="4" t="inlineStr">
        <is>
          <t>シティタワー高輪</t>
        </is>
      </c>
      <c r="C63" s="4" t="inlineStr">
        <is>
          <t>食い違い</t>
        </is>
      </c>
      <c r="D63" s="4" t="inlineStr">
        <is>
          <t>竣工年月</t>
        </is>
      </c>
      <c r="E63" s="4" t="inlineStr">
        <is>
          <t>2004年1月（図面A-p07・小田急HP）</t>
        </is>
      </c>
      <c r="F63" s="4" t="inlineStr">
        <is>
          <t>2004年3月（住友MP・ステップ・Wiki）</t>
        </is>
      </c>
      <c r="G63" s="4" t="inlineStr">
        <is>
          <t>分譲会社系公式は3月</t>
        </is>
      </c>
      <c r="H63" s="4" t="inlineStr">
        <is>
          <t>2004年1月（図面）＋3月併記</t>
        </is>
      </c>
      <c r="I63" s="4" t="inlineStr">
        <is>
          <t>未確認</t>
        </is>
      </c>
    </row>
    <row r="64">
      <c r="A64" s="4" t="inlineStr">
        <is>
          <t>03</t>
        </is>
      </c>
      <c r="B64" s="4" t="inlineStr">
        <is>
          <t>シティタワー高輪</t>
        </is>
      </c>
      <c r="C64" s="4" t="inlineStr">
        <is>
          <t>食い違い</t>
        </is>
      </c>
      <c r="D64" s="4" t="inlineStr">
        <is>
          <t>敷地面積</t>
        </is>
      </c>
      <c r="E64" s="4" t="inlineStr">
        <is>
          <t>4,386.90㎡（図面）</t>
        </is>
      </c>
      <c r="F64" s="4" t="inlineStr">
        <is>
          <t>4,388.91㎡（住友MP・ステップ）</t>
        </is>
      </c>
      <c r="G64" s="4" t="inlineStr">
        <is>
          <t>公式は分譲時パンフ値</t>
        </is>
      </c>
      <c r="H64" s="4" t="inlineStr">
        <is>
          <t>4,386.90㎡（図面）差異注記</t>
        </is>
      </c>
      <c r="I64" s="4" t="inlineStr">
        <is>
          <t>未確認</t>
        </is>
      </c>
    </row>
    <row r="65">
      <c r="A65" s="4" t="inlineStr">
        <is>
          <t>03</t>
        </is>
      </c>
      <c r="B65" s="4" t="inlineStr">
        <is>
          <t>シティタワー高輪</t>
        </is>
      </c>
      <c r="C65" s="4" t="inlineStr">
        <is>
          <t>食い違い</t>
        </is>
      </c>
      <c r="D65" s="4" t="inlineStr">
        <is>
          <t>管理方式</t>
        </is>
      </c>
      <c r="E65" s="4" t="inlineStr">
        <is>
          <t>常駐管理（図面）</t>
        </is>
      </c>
      <c r="F65" s="4" t="inlineStr">
        <is>
          <t>日勤（小田急HP・Mレビュー）</t>
        </is>
      </c>
      <c r="G65" s="4" t="inlineStr">
        <is>
          <t>住友MP：24時間有人管理（防災センター2名常駐）</t>
        </is>
      </c>
      <c r="H65" s="4" t="inlineStr">
        <is>
          <t>勤務形態は要確認</t>
        </is>
      </c>
      <c r="I65" s="4" t="inlineStr">
        <is>
          <t>未確認</t>
        </is>
      </c>
    </row>
    <row r="66">
      <c r="A66" s="4" t="inlineStr">
        <is>
          <t>03</t>
        </is>
      </c>
      <c r="B66" s="4" t="inlineStr">
        <is>
          <t>シティタワー高輪</t>
        </is>
      </c>
      <c r="C66" s="4" t="inlineStr">
        <is>
          <t>食い違い</t>
        </is>
      </c>
      <c r="D66" s="4" t="inlineStr">
        <is>
          <t>交通 白金台</t>
        </is>
      </c>
      <c r="E66" s="4" t="inlineStr">
        <is>
          <t>徒歩11分（図面・小田急HP）</t>
        </is>
      </c>
      <c r="F66" s="4" t="inlineStr">
        <is>
          <t>徒歩10分（住友MP・ステップ）</t>
        </is>
      </c>
      <c r="G66" s="4" t="inlineStr">
        <is>
          <t>公式10分</t>
        </is>
      </c>
      <c r="H66" s="4" t="inlineStr">
        <is>
          <t>図面11分（公式10分併記）</t>
        </is>
      </c>
      <c r="I66" s="4" t="inlineStr">
        <is>
          <t>解消</t>
        </is>
      </c>
    </row>
    <row r="67">
      <c r="A67" s="4" t="inlineStr">
        <is>
          <t>03</t>
        </is>
      </c>
      <c r="B67" s="4" t="inlineStr">
        <is>
          <t>シティタワー高輪</t>
        </is>
      </c>
      <c r="C67" s="4" t="inlineStr">
        <is>
          <t>食い違い</t>
        </is>
      </c>
      <c r="D67" s="4" t="inlineStr">
        <is>
          <t>交通 高輪台</t>
        </is>
      </c>
      <c r="E67" s="4" t="inlineStr">
        <is>
          <t>徒歩8分（図面・住友MP）</t>
        </is>
      </c>
      <c r="F67" s="4" t="inlineStr">
        <is>
          <t>徒歩10分（ステップ概要・KEN）</t>
        </is>
      </c>
      <c r="G67" s="4" t="inlineStr">
        <is>
          <t>住友MPは8分</t>
        </is>
      </c>
      <c r="H67" s="4" t="inlineStr">
        <is>
          <t>8分</t>
        </is>
      </c>
      <c r="I67" s="4" t="inlineStr">
        <is>
          <t>解消</t>
        </is>
      </c>
    </row>
    <row r="68">
      <c r="A68" s="4" t="inlineStr">
        <is>
          <t>03</t>
        </is>
      </c>
      <c r="B68" s="4" t="inlineStr">
        <is>
          <t>シティタワー高輪</t>
        </is>
      </c>
      <c r="C68" s="4" t="inlineStr">
        <is>
          <t>食い違い</t>
        </is>
      </c>
      <c r="D68" s="4" t="inlineStr">
        <is>
          <t>交通 白金高輪</t>
        </is>
      </c>
      <c r="E68" s="4" t="inlineStr">
        <is>
          <t>徒歩7分（図面・住友MP）</t>
        </is>
      </c>
      <c r="F68" s="4" t="inlineStr">
        <is>
          <t>徒歩6分（小田急HP POINT・リバブル）</t>
        </is>
      </c>
      <c r="G68" s="4" t="inlineStr">
        <is>
          <t>公式7分</t>
        </is>
      </c>
      <c r="H68" s="4" t="inlineStr">
        <is>
          <t>7分</t>
        </is>
      </c>
      <c r="I68" s="4" t="inlineStr">
        <is>
          <t>解消</t>
        </is>
      </c>
    </row>
    <row r="69">
      <c r="A69" s="4" t="inlineStr">
        <is>
          <t>03</t>
        </is>
      </c>
      <c r="B69" s="4" t="inlineStr">
        <is>
          <t>シティタワー高輪</t>
        </is>
      </c>
      <c r="C69" s="4" t="inlineStr">
        <is>
          <t>食い違い</t>
        </is>
      </c>
      <c r="D69" s="4" t="inlineStr">
        <is>
          <t>交通 高輪ゲートウェイ</t>
        </is>
      </c>
      <c r="E69" s="4" t="inlineStr">
        <is>
          <t>徒歩16分（図面）</t>
        </is>
      </c>
      <c r="F69" s="4" t="inlineStr">
        <is>
          <t>17分（KEN）／15分（アクセル）</t>
        </is>
      </c>
      <c r="G69" s="4" t="inlineStr">
        <is>
          <t>公式記載なし</t>
        </is>
      </c>
      <c r="H69" s="4" t="inlineStr">
        <is>
          <t>16分（図面）</t>
        </is>
      </c>
      <c r="I69" s="4" t="inlineStr">
        <is>
          <t>未確認</t>
        </is>
      </c>
    </row>
    <row r="70">
      <c r="A70" s="4" t="inlineStr">
        <is>
          <t>03</t>
        </is>
      </c>
      <c r="B70" s="4" t="inlineStr">
        <is>
          <t>シティタワー高輪</t>
        </is>
      </c>
      <c r="C70" s="4" t="inlineStr">
        <is>
          <t>食い違い</t>
        </is>
      </c>
      <c r="D70" s="4" t="inlineStr">
        <is>
          <t>向き</t>
        </is>
      </c>
      <c r="E70" s="4" t="inlineStr">
        <is>
          <t>北東（小田急HP・SUUMO）</t>
        </is>
      </c>
      <c r="F70" s="4" t="inlineStr">
        <is>
          <t>図面方位記号より東（やや北寄り）</t>
        </is>
      </c>
      <c r="G70" s="4" t="inlineStr">
        <is>
          <t>公式に住戸別方位なし</t>
        </is>
      </c>
      <c r="H70" s="4" t="inlineStr">
        <is>
          <t>北東角住戸</t>
        </is>
      </c>
      <c r="I70" s="4" t="inlineStr">
        <is>
          <t>解消</t>
        </is>
      </c>
    </row>
    <row r="71">
      <c r="A71" s="4" t="inlineStr">
        <is>
          <t>03</t>
        </is>
      </c>
      <c r="B71" s="4" t="inlineStr">
        <is>
          <t>シティタワー高輪</t>
        </is>
      </c>
      <c r="C71" s="4" t="inlineStr">
        <is>
          <t>食い違い</t>
        </is>
      </c>
      <c r="D71" s="4" t="inlineStr">
        <is>
          <t>大規模修繕</t>
        </is>
      </c>
      <c r="E71" s="4" t="inlineStr">
        <is>
          <t>2016年6月完了（リバブル）</t>
        </is>
      </c>
      <c r="F71" s="4" t="inlineStr">
        <is>
          <t>—</t>
        </is>
      </c>
      <c r="G71" s="4" t="inlineStr">
        <is>
          <t>一次資料未確認</t>
        </is>
      </c>
      <c r="H71" s="4" t="inlineStr">
        <is>
          <t>2016年6月（リバブル記載）</t>
        </is>
      </c>
      <c r="I71" s="4" t="inlineStr">
        <is>
          <t>未確認</t>
        </is>
      </c>
    </row>
    <row r="72">
      <c r="A72" s="4" t="inlineStr">
        <is>
          <t>03</t>
        </is>
      </c>
      <c r="B72" s="4" t="inlineStr">
        <is>
          <t>シティタワー高輪</t>
        </is>
      </c>
      <c r="C72" s="4" t="inlineStr">
        <is>
          <t>食い違い</t>
        </is>
      </c>
      <c r="D72" s="4" t="inlineStr">
        <is>
          <t>2017年リフォーム内容</t>
        </is>
      </c>
      <c r="E72" s="4" t="inlineStr">
        <is>
          <t>内装リフォーム実施（図面）</t>
        </is>
      </c>
      <c r="F72" s="4" t="inlineStr">
        <is>
          <t>オーク材・天然石・御影石、IH等（小田急HP）</t>
        </is>
      </c>
      <c r="G72" s="4" t="inlineStr">
        <is>
          <t>明細なし</t>
        </is>
      </c>
      <c r="H72" s="4" t="inlineStr">
        <is>
          <t>判明分のみ記載</t>
        </is>
      </c>
      <c r="I72" s="4" t="inlineStr">
        <is>
          <t>未確認</t>
        </is>
      </c>
    </row>
    <row r="73">
      <c r="A73" s="4" t="inlineStr">
        <is>
          <t>03</t>
        </is>
      </c>
      <c r="B73" s="4" t="inlineStr">
        <is>
          <t>シティタワー高輪</t>
        </is>
      </c>
      <c r="C73" s="4" t="inlineStr">
        <is>
          <t>食い違い</t>
        </is>
      </c>
      <c r="D73" s="4" t="inlineStr">
        <is>
          <t>制震/免震</t>
        </is>
      </c>
      <c r="E73" s="4" t="inlineStr">
        <is>
          <t>制震（住友MP・ステップ）</t>
        </is>
      </c>
      <c r="F73" s="4" t="inlineStr">
        <is>
          <t>—</t>
        </is>
      </c>
      <c r="G73" s="4" t="inlineStr">
        <is>
          <t>公式確認</t>
        </is>
      </c>
      <c r="H73" s="4" t="inlineStr">
        <is>
          <t>制震構造</t>
        </is>
      </c>
      <c r="I73" s="4" t="inlineStr">
        <is>
          <t>解消</t>
        </is>
      </c>
    </row>
    <row r="74">
      <c r="A74" s="4" t="inlineStr">
        <is>
          <t>03</t>
        </is>
      </c>
      <c r="B74" s="4" t="inlineStr">
        <is>
          <t>シティタワー高輪</t>
        </is>
      </c>
      <c r="C74" s="4" t="inlineStr">
        <is>
          <t>食い違い</t>
        </is>
      </c>
      <c r="D74" s="4" t="inlineStr">
        <is>
          <t>二重床・内廊下</t>
        </is>
      </c>
      <c r="E74" s="4" t="inlineStr">
        <is>
          <t>二重床・二重天井・内廊下（住友MP・リバブル）</t>
        </is>
      </c>
      <c r="F74" s="4" t="inlineStr">
        <is>
          <t>—</t>
        </is>
      </c>
      <c r="G74" s="4" t="inlineStr">
        <is>
          <t>公式確認</t>
        </is>
      </c>
      <c r="H74" s="4" t="inlineStr">
        <is>
          <t>採用</t>
        </is>
      </c>
      <c r="I74" s="4" t="inlineStr">
        <is>
          <t>解消</t>
        </is>
      </c>
    </row>
    <row r="75">
      <c r="A75" s="4" t="inlineStr">
        <is>
          <t>03</t>
        </is>
      </c>
      <c r="B75" s="4" t="inlineStr">
        <is>
          <t>シティタワー高輪</t>
        </is>
      </c>
      <c r="C75" s="4" t="inlineStr">
        <is>
          <t>食い違い</t>
        </is>
      </c>
      <c r="D75" s="4" t="inlineStr">
        <is>
          <t>平置き駐車場シャッター付51,000円</t>
        </is>
      </c>
      <c r="E75" s="4" t="inlineStr">
        <is>
          <t>図面・小田急HP</t>
        </is>
      </c>
      <c r="F75" s="4" t="inlineStr">
        <is>
          <t>住友MP：B1に平置き（シャッター付）区画あり</t>
        </is>
      </c>
      <c r="G75" s="4" t="inlineStr">
        <is>
          <t>区画存在は公式確認、料金は図面のみ</t>
        </is>
      </c>
      <c r="H75" s="4" t="inlineStr">
        <is>
          <t>51,000円</t>
        </is>
      </c>
      <c r="I75" s="4" t="inlineStr">
        <is>
          <t>解消</t>
        </is>
      </c>
    </row>
    <row r="76">
      <c r="A76" s="4" t="inlineStr">
        <is>
          <t>03</t>
        </is>
      </c>
      <c r="B76" s="4" t="inlineStr">
        <is>
          <t>シティタワー高輪</t>
        </is>
      </c>
      <c r="C76" s="4" t="inlineStr">
        <is>
          <t>食い違い</t>
        </is>
      </c>
      <c r="D76" s="4" t="inlineStr">
        <is>
          <t>図面上の広告表記</t>
        </is>
      </c>
      <c r="E76" s="4" t="inlineStr">
        <is>
          <t>「※無断広告掲載禁止」（要事前連絡）（図面A-p07）</t>
        </is>
      </c>
      <c r="F76" s="4" t="inlineStr">
        <is>
          <t>—</t>
        </is>
      </c>
      <c r="G76" s="4" t="inlineStr">
        <is>
          <t>図面上の表記（依頼者より承諾取得済との指示あり）</t>
        </is>
      </c>
      <c r="H76" s="4" t="inlineStr">
        <is>
          <t>記録のみ</t>
        </is>
      </c>
      <c r="I76" s="4" t="inlineStr">
        <is>
          <t>解消</t>
        </is>
      </c>
    </row>
    <row r="77">
      <c r="A77" s="4" t="inlineStr">
        <is>
          <t>03</t>
        </is>
      </c>
      <c r="B77" s="4" t="inlineStr">
        <is>
          <t>シティタワー高輪</t>
        </is>
      </c>
      <c r="C77" s="4" t="inlineStr">
        <is>
          <t>未確認</t>
        </is>
      </c>
      <c r="D77" s="4" t="inlineStr">
        <is>
          <t>管理員勤務形態（常駐/日勤）</t>
        </is>
      </c>
      <c r="E77" s="4" t="n"/>
      <c r="F77" s="4" t="n"/>
      <c r="G77" s="4" t="n"/>
      <c r="H77" s="4" t="n"/>
      <c r="I77" s="4" t="inlineStr">
        <is>
          <t>未確認</t>
        </is>
      </c>
    </row>
    <row r="78">
      <c r="A78" s="4" t="inlineStr">
        <is>
          <t>03</t>
        </is>
      </c>
      <c r="B78" s="4" t="inlineStr">
        <is>
          <t>シティタワー高輪</t>
        </is>
      </c>
      <c r="C78" s="4" t="inlineStr">
        <is>
          <t>未確認</t>
        </is>
      </c>
      <c r="D78" s="4" t="inlineStr">
        <is>
          <t>2017年リフォーム明細</t>
        </is>
      </c>
      <c r="E78" s="4" t="n"/>
      <c r="F78" s="4" t="n"/>
      <c r="G78" s="4" t="n"/>
      <c r="H78" s="4" t="n"/>
      <c r="I78" s="4" t="inlineStr">
        <is>
          <t>未確認</t>
        </is>
      </c>
    </row>
    <row r="79">
      <c r="A79" s="4" t="inlineStr">
        <is>
          <t>03</t>
        </is>
      </c>
      <c r="B79" s="4" t="inlineStr">
        <is>
          <t>シティタワー高輪</t>
        </is>
      </c>
      <c r="C79" s="4" t="inlineStr">
        <is>
          <t>未確認</t>
        </is>
      </c>
      <c r="D79" s="4" t="inlineStr">
        <is>
          <t>ディスポーザー現況</t>
        </is>
      </c>
      <c r="E79" s="4" t="n"/>
      <c r="F79" s="4" t="n"/>
      <c r="G79" s="4" t="n"/>
      <c r="H79" s="4" t="n"/>
      <c r="I79" s="4" t="inlineStr">
        <is>
          <t>未確認</t>
        </is>
      </c>
    </row>
    <row r="80">
      <c r="A80" s="4" t="inlineStr">
        <is>
          <t>03</t>
        </is>
      </c>
      <c r="B80" s="4" t="inlineStr">
        <is>
          <t>シティタワー高輪</t>
        </is>
      </c>
      <c r="C80" s="4" t="inlineStr">
        <is>
          <t>未確認</t>
        </is>
      </c>
      <c r="D80" s="4" t="inlineStr">
        <is>
          <t>ゲストルーム料金の公式値</t>
        </is>
      </c>
      <c r="E80" s="4" t="n"/>
      <c r="F80" s="4" t="n"/>
      <c r="G80" s="4" t="n"/>
      <c r="H80" s="4" t="n"/>
      <c r="I80" s="4" t="inlineStr">
        <is>
          <t>未確認</t>
        </is>
      </c>
    </row>
    <row r="81">
      <c r="A81" s="4" t="inlineStr">
        <is>
          <t>03</t>
        </is>
      </c>
      <c r="B81" s="4" t="inlineStr">
        <is>
          <t>シティタワー高輪</t>
        </is>
      </c>
      <c r="C81" s="4" t="inlineStr">
        <is>
          <t>未確認</t>
        </is>
      </c>
      <c r="D81" s="4" t="inlineStr">
        <is>
          <t>カンファレンスルームの階</t>
        </is>
      </c>
      <c r="E81" s="4" t="n"/>
      <c r="F81" s="4" t="n"/>
      <c r="G81" s="4" t="n"/>
      <c r="H81" s="4" t="n"/>
      <c r="I81" s="4" t="inlineStr">
        <is>
          <t>未確認</t>
        </is>
      </c>
    </row>
    <row r="82">
      <c r="A82" s="4" t="inlineStr">
        <is>
          <t>03</t>
        </is>
      </c>
      <c r="B82" s="4" t="inlineStr">
        <is>
          <t>シティタワー高輪</t>
        </is>
      </c>
      <c r="C82" s="4" t="inlineStr">
        <is>
          <t>未確認</t>
        </is>
      </c>
      <c r="D82" s="4" t="inlineStr">
        <is>
          <t>ミニショップ・フォレストラウンジの運営/料金</t>
        </is>
      </c>
      <c r="E82" s="4" t="n"/>
      <c r="F82" s="4" t="n"/>
      <c r="G82" s="4" t="n"/>
      <c r="H82" s="4" t="n"/>
      <c r="I82" s="4" t="inlineStr">
        <is>
          <t>未確認</t>
        </is>
      </c>
    </row>
    <row r="83">
      <c r="A83" s="4" t="inlineStr">
        <is>
          <t>03</t>
        </is>
      </c>
      <c r="B83" s="4" t="inlineStr">
        <is>
          <t>シティタワー高輪</t>
        </is>
      </c>
      <c r="C83" s="4" t="inlineStr">
        <is>
          <t>未確認</t>
        </is>
      </c>
      <c r="D83" s="4" t="inlineStr">
        <is>
          <t>洪水ハザードの敷地全体判定（港区版）</t>
        </is>
      </c>
      <c r="E83" s="4" t="n"/>
      <c r="F83" s="4" t="n"/>
      <c r="G83" s="4" t="n"/>
      <c r="H83" s="4" t="n"/>
      <c r="I83" s="4" t="inlineStr">
        <is>
          <t>未確認</t>
        </is>
      </c>
    </row>
    <row r="84">
      <c r="A84" s="4" t="inlineStr">
        <is>
          <t>03</t>
        </is>
      </c>
      <c r="B84" s="4" t="inlineStr">
        <is>
          <t>シティタワー高輪</t>
        </is>
      </c>
      <c r="C84" s="4" t="inlineStr">
        <is>
          <t>未確認</t>
        </is>
      </c>
      <c r="D84" s="4" t="inlineStr">
        <is>
          <t>液状化・内水</t>
        </is>
      </c>
      <c r="E84" s="4" t="n"/>
      <c r="F84" s="4" t="n"/>
      <c r="G84" s="4" t="n"/>
      <c r="H84" s="4" t="n"/>
      <c r="I84" s="4" t="inlineStr">
        <is>
          <t>未確認</t>
        </is>
      </c>
    </row>
    <row r="85">
      <c r="A85" s="4" t="inlineStr">
        <is>
          <t>03</t>
        </is>
      </c>
      <c r="B85" s="4" t="inlineStr">
        <is>
          <t>シティタワー高輪</t>
        </is>
      </c>
      <c r="C85" s="4" t="inlineStr">
        <is>
          <t>未確認</t>
        </is>
      </c>
      <c r="D85" s="4" t="inlineStr">
        <is>
          <t>バルコニー使用料</t>
        </is>
      </c>
      <c r="E85" s="4" t="n"/>
      <c r="F85" s="4" t="n"/>
      <c r="G85" s="4" t="n"/>
      <c r="H85" s="4" t="n"/>
      <c r="I85" s="4" t="inlineStr">
        <is>
          <t>未確認</t>
        </is>
      </c>
    </row>
    <row r="86">
      <c r="A86" s="4" t="inlineStr">
        <is>
          <t>03</t>
        </is>
      </c>
      <c r="B86" s="4" t="inlineStr">
        <is>
          <t>シティタワー高輪</t>
        </is>
      </c>
      <c r="C86" s="4" t="inlineStr">
        <is>
          <t>未確認</t>
        </is>
      </c>
      <c r="D86" s="4" t="inlineStr">
        <is>
          <t>家具相談</t>
        </is>
      </c>
      <c r="E86" s="4" t="n"/>
      <c r="F86" s="4" t="n"/>
      <c r="G86" s="4" t="n"/>
      <c r="H86" s="4" t="n"/>
      <c r="I86" s="4" t="inlineStr">
        <is>
          <t>未確認</t>
        </is>
      </c>
    </row>
    <row r="87">
      <c r="A87" s="4" t="inlineStr">
        <is>
          <t>03</t>
        </is>
      </c>
      <c r="B87" s="4" t="inlineStr">
        <is>
          <t>シティタワー高輪</t>
        </is>
      </c>
      <c r="C87" s="4" t="inlineStr">
        <is>
          <t>未確認</t>
        </is>
      </c>
      <c r="D87" s="4" t="inlineStr">
        <is>
          <t>室内設備メーカー名</t>
        </is>
      </c>
      <c r="E87" s="4" t="n"/>
      <c r="F87" s="4" t="n"/>
      <c r="G87" s="4" t="n"/>
      <c r="H87" s="4" t="n"/>
      <c r="I87" s="4" t="inlineStr">
        <is>
          <t>未確認</t>
        </is>
      </c>
    </row>
    <row r="88">
      <c r="A88" s="4" t="inlineStr">
        <is>
          <t>03</t>
        </is>
      </c>
      <c r="B88" s="4" t="inlineStr">
        <is>
          <t>シティタワー高輪</t>
        </is>
      </c>
      <c r="C88" s="4" t="inlineStr">
        <is>
          <t>未確認</t>
        </is>
      </c>
      <c r="D88" s="4" t="inlineStr">
        <is>
          <t>天井高現況</t>
        </is>
      </c>
      <c r="E88" s="4" t="n"/>
      <c r="F88" s="4" t="n"/>
      <c r="G88" s="4" t="n"/>
      <c r="H88" s="4" t="n"/>
      <c r="I88" s="4" t="inlineStr">
        <is>
          <t>未確認</t>
        </is>
      </c>
    </row>
    <row r="89">
      <c r="A89" s="4" t="inlineStr">
        <is>
          <t>03</t>
        </is>
      </c>
      <c r="B89" s="4" t="inlineStr">
        <is>
          <t>シティタワー高輪</t>
        </is>
      </c>
      <c r="C89" s="4" t="inlineStr">
        <is>
          <t>未確認</t>
        </is>
      </c>
      <c r="D89" s="4" t="inlineStr">
        <is>
          <t>大規模修繕の一次資料</t>
        </is>
      </c>
      <c r="E89" s="4" t="n"/>
      <c r="F89" s="4" t="n"/>
      <c r="G89" s="4" t="n"/>
      <c r="H89" s="4" t="n"/>
      <c r="I89" s="4" t="inlineStr">
        <is>
          <t>未確認</t>
        </is>
      </c>
    </row>
    <row r="90">
      <c r="A90" s="4" t="inlineStr">
        <is>
          <t>03</t>
        </is>
      </c>
      <c r="B90" s="4" t="inlineStr">
        <is>
          <t>シティタワー高輪</t>
        </is>
      </c>
      <c r="C90" s="4" t="inlineStr">
        <is>
          <t>未確認</t>
        </is>
      </c>
      <c r="D90" s="4" t="inlineStr">
        <is>
          <t>竣工年月（1月/3月）</t>
        </is>
      </c>
      <c r="E90" s="4" t="n"/>
      <c r="F90" s="4" t="n"/>
      <c r="G90" s="4" t="n"/>
      <c r="H90" s="4" t="n"/>
      <c r="I90" s="4" t="inlineStr">
        <is>
          <t>未確認</t>
        </is>
      </c>
    </row>
    <row r="91">
      <c r="A91" s="4" t="inlineStr">
        <is>
          <t>03</t>
        </is>
      </c>
      <c r="B91" s="4" t="inlineStr">
        <is>
          <t>シティタワー高輪</t>
        </is>
      </c>
      <c r="C91" s="4" t="inlineStr">
        <is>
          <t>未確認</t>
        </is>
      </c>
      <c r="D91" s="4" t="inlineStr">
        <is>
          <t>英字正式表記</t>
        </is>
      </c>
      <c r="E91" s="4" t="n"/>
      <c r="F91" s="4" t="n"/>
      <c r="G91" s="4" t="n"/>
      <c r="H91" s="4" t="n"/>
      <c r="I91" s="4" t="inlineStr">
        <is>
          <t>未確認</t>
        </is>
      </c>
    </row>
    <row r="92">
      <c r="A92" s="4" t="inlineStr">
        <is>
          <t>04</t>
        </is>
      </c>
      <c r="B92" s="4" t="inlineStr">
        <is>
          <t>パークコート赤坂ザタワー</t>
        </is>
      </c>
      <c r="C92" s="4" t="inlineStr">
        <is>
          <t>食い違い</t>
        </is>
      </c>
      <c r="D92" s="4" t="inlineStr">
        <is>
          <t>駐車場使用料160,000円</t>
        </is>
      </c>
      <c r="E92" s="4" t="inlineStr">
        <is>
          <t>160,000円（図面A-p09）</t>
        </is>
      </c>
      <c r="F92" s="4" t="inlineStr">
        <is>
          <t>住戸付設平置 特大 区画23・24 号室4307 各80,000円（公式駐車場使用料表PDF 2021年3月）</t>
        </is>
      </c>
      <c r="G92" s="4" t="inlineStr">
        <is>
          <t>公式PDFで2台分と確認</t>
        </is>
      </c>
      <c r="H92" s="4" t="inlineStr">
        <is>
          <t>80,000円×2台＝160,000円</t>
        </is>
      </c>
      <c r="I92" s="4" t="inlineStr">
        <is>
          <t>解消</t>
        </is>
      </c>
    </row>
    <row r="93">
      <c r="A93" s="4" t="inlineStr">
        <is>
          <t>04</t>
        </is>
      </c>
      <c r="B93" s="4" t="inlineStr">
        <is>
          <t>パークコート赤坂ザタワー</t>
        </is>
      </c>
      <c r="C93" s="4" t="inlineStr">
        <is>
          <t>食い違い</t>
        </is>
      </c>
      <c r="D93" s="4" t="inlineStr">
        <is>
          <t>制震/免震</t>
        </is>
      </c>
      <c r="E93" s="4" t="inlineStr">
        <is>
          <t>制震構造（2008年分譲時リリース・KEN・プラザ）</t>
        </is>
      </c>
      <c r="F93" s="4" t="inlineStr">
        <is>
          <t>免震構造（マンションレビュー備考）</t>
        </is>
      </c>
      <c r="G93" s="4" t="inlineStr">
        <is>
          <t>分譲時リリースで制震構造</t>
        </is>
      </c>
      <c r="H93" s="4" t="inlineStr">
        <is>
          <t>制震構造</t>
        </is>
      </c>
      <c r="I93" s="4" t="inlineStr">
        <is>
          <t>解消</t>
        </is>
      </c>
    </row>
    <row r="94">
      <c r="A94" s="4" t="inlineStr">
        <is>
          <t>04</t>
        </is>
      </c>
      <c r="B94" s="4" t="inlineStr">
        <is>
          <t>パークコート赤坂ザタワー</t>
        </is>
      </c>
      <c r="C94" s="4" t="inlineStr">
        <is>
          <t>食い違い</t>
        </is>
      </c>
      <c r="D94" s="4" t="inlineStr">
        <is>
          <t>総戸数</t>
        </is>
      </c>
      <c r="E94" s="4" t="inlineStr">
        <is>
          <t>518戸（公式・リリース・港区）</t>
        </is>
      </c>
      <c r="F94" s="4" t="inlineStr">
        <is>
          <t>521戸（住宅518戸・他店舗3戸）（図面）</t>
        </is>
      </c>
      <c r="G94" s="4" t="inlineStr">
        <is>
          <t>住宅518戸＋店舗等3区画</t>
        </is>
      </c>
      <c r="H94" s="4" t="inlineStr">
        <is>
          <t>518戸（店舗等3区画別）</t>
        </is>
      </c>
      <c r="I94" s="4" t="inlineStr">
        <is>
          <t>解消</t>
        </is>
      </c>
    </row>
    <row r="95">
      <c r="A95" s="4" t="inlineStr">
        <is>
          <t>04</t>
        </is>
      </c>
      <c r="B95" s="4" t="inlineStr">
        <is>
          <t>パークコート赤坂ザタワー</t>
        </is>
      </c>
      <c r="C95" s="4" t="inlineStr">
        <is>
          <t>食い違い</t>
        </is>
      </c>
      <c r="D95" s="4" t="inlineStr">
        <is>
          <t>建物高さ</t>
        </is>
      </c>
      <c r="E95" s="4" t="inlineStr">
        <is>
          <t>約145m（リリース・港区）</t>
        </is>
      </c>
      <c r="F95" s="4" t="inlineStr">
        <is>
          <t>157.25m（Wikipedia）／約150m（プラザ）</t>
        </is>
      </c>
      <c r="G95" s="4" t="inlineStr">
        <is>
          <t>公式系で約145m</t>
        </is>
      </c>
      <c r="H95" s="4" t="inlineStr">
        <is>
          <t>約145m</t>
        </is>
      </c>
      <c r="I95" s="4" t="inlineStr">
        <is>
          <t>解消</t>
        </is>
      </c>
    </row>
    <row r="96">
      <c r="A96" s="4" t="inlineStr">
        <is>
          <t>04</t>
        </is>
      </c>
      <c r="B96" s="4" t="inlineStr">
        <is>
          <t>パークコート赤坂ザタワー</t>
        </is>
      </c>
      <c r="C96" s="4" t="inlineStr">
        <is>
          <t>食い違い</t>
        </is>
      </c>
      <c r="D96" s="4" t="inlineStr">
        <is>
          <t>セキュリティ重数</t>
        </is>
      </c>
      <c r="E96" s="4" t="inlineStr">
        <is>
          <t>4重（リリース）</t>
        </is>
      </c>
      <c r="F96" s="4" t="inlineStr">
        <is>
          <t>5重（プラザ）</t>
        </is>
      </c>
      <c r="G96" s="4" t="inlineStr">
        <is>
          <t>リリースで4重</t>
        </is>
      </c>
      <c r="H96" s="4" t="inlineStr">
        <is>
          <t>4重</t>
        </is>
      </c>
      <c r="I96" s="4" t="inlineStr">
        <is>
          <t>解消</t>
        </is>
      </c>
    </row>
    <row r="97">
      <c r="A97" s="4" t="inlineStr">
        <is>
          <t>04</t>
        </is>
      </c>
      <c r="B97" s="4" t="inlineStr">
        <is>
          <t>パークコート赤坂ザタワー</t>
        </is>
      </c>
      <c r="C97" s="4" t="inlineStr">
        <is>
          <t>食い違い</t>
        </is>
      </c>
      <c r="D97" s="4" t="inlineStr">
        <is>
          <t>専有面積</t>
        </is>
      </c>
      <c r="E97" s="4" t="inlineStr">
        <is>
          <t>218.19㎡（図面・リリース最大住戸）</t>
        </is>
      </c>
      <c r="F97" s="4" t="inlineStr">
        <is>
          <t>218.09㎡（リンネ新築時価格表）</t>
        </is>
      </c>
      <c r="G97" s="4" t="inlineStr">
        <is>
          <t>リリースで218.19㎡</t>
        </is>
      </c>
      <c r="H97" s="4" t="inlineStr">
        <is>
          <t>218.19㎡</t>
        </is>
      </c>
      <c r="I97" s="4" t="inlineStr">
        <is>
          <t>解消</t>
        </is>
      </c>
    </row>
    <row r="98">
      <c r="A98" s="4" t="inlineStr">
        <is>
          <t>04</t>
        </is>
      </c>
      <c r="B98" s="4" t="inlineStr">
        <is>
          <t>パークコート赤坂ザタワー</t>
        </is>
      </c>
      <c r="C98" s="4" t="inlineStr">
        <is>
          <t>食い違い</t>
        </is>
      </c>
      <c r="D98" s="4" t="inlineStr">
        <is>
          <t>フィットネス</t>
        </is>
      </c>
      <c r="E98" s="4" t="inlineStr">
        <is>
          <t>ジム有（プラザ）</t>
        </is>
      </c>
      <c r="F98" s="4" t="inlineStr">
        <is>
          <t>ジム未設置（マンションレビュー口コミ）</t>
        </is>
      </c>
      <c r="G98" s="4" t="inlineStr">
        <is>
          <t>公式共用スペース一覧に記載なし</t>
        </is>
      </c>
      <c r="H98" s="4" t="inlineStr">
        <is>
          <t>掲載しない</t>
        </is>
      </c>
      <c r="I98" s="4" t="inlineStr">
        <is>
          <t>未確認</t>
        </is>
      </c>
    </row>
    <row r="99">
      <c r="A99" s="4" t="inlineStr">
        <is>
          <t>04</t>
        </is>
      </c>
      <c r="B99" s="4" t="inlineStr">
        <is>
          <t>パークコート赤坂ザタワー</t>
        </is>
      </c>
      <c r="C99" s="4" t="inlineStr">
        <is>
          <t>食い違い</t>
        </is>
      </c>
      <c r="D99" s="4" t="inlineStr">
        <is>
          <t>大規模修繕</t>
        </is>
      </c>
      <c r="E99" s="4" t="inlineStr">
        <is>
          <t>記載なし</t>
        </is>
      </c>
      <c r="F99" s="4" t="inlineStr">
        <is>
          <t>記載なし</t>
        </is>
      </c>
      <c r="G99" s="4" t="inlineStr">
        <is>
          <t>確認できず</t>
        </is>
      </c>
      <c r="H99" s="4" t="inlineStr">
        <is>
          <t>—</t>
        </is>
      </c>
      <c r="I99" s="4" t="inlineStr">
        <is>
          <t>未確認</t>
        </is>
      </c>
    </row>
    <row r="100">
      <c r="A100" s="4" t="inlineStr">
        <is>
          <t>04</t>
        </is>
      </c>
      <c r="B100" s="4" t="inlineStr">
        <is>
          <t>パークコート赤坂ザタワー</t>
        </is>
      </c>
      <c r="C100" s="4" t="inlineStr">
        <is>
          <t>未確認</t>
        </is>
      </c>
      <c r="D100" s="4" t="inlineStr">
        <is>
          <t>大規模修繕の実施時期・予定</t>
        </is>
      </c>
      <c r="E100" s="4" t="n"/>
      <c r="F100" s="4" t="n"/>
      <c r="G100" s="4" t="n"/>
      <c r="H100" s="4" t="n"/>
      <c r="I100" s="4" t="inlineStr">
        <is>
          <t>未確認</t>
        </is>
      </c>
    </row>
    <row r="101">
      <c r="A101" s="4" t="inlineStr">
        <is>
          <t>04</t>
        </is>
      </c>
      <c r="B101" s="4" t="inlineStr">
        <is>
          <t>パークコート赤坂ザタワー</t>
        </is>
      </c>
      <c r="C101" s="4" t="inlineStr">
        <is>
          <t>未確認</t>
        </is>
      </c>
      <c r="D101" s="4" t="inlineStr">
        <is>
          <t>住戸天井高</t>
        </is>
      </c>
      <c r="E101" s="4" t="n"/>
      <c r="F101" s="4" t="n"/>
      <c r="G101" s="4" t="n"/>
      <c r="H101" s="4" t="n"/>
      <c r="I101" s="4" t="inlineStr">
        <is>
          <t>未確認</t>
        </is>
      </c>
    </row>
    <row r="102">
      <c r="A102" s="4" t="inlineStr">
        <is>
          <t>04</t>
        </is>
      </c>
      <c r="B102" s="4" t="inlineStr">
        <is>
          <t>パークコート赤坂ザタワー</t>
        </is>
      </c>
      <c r="C102" s="4" t="inlineStr">
        <is>
          <t>未確認</t>
        </is>
      </c>
      <c r="D102" s="4" t="inlineStr">
        <is>
          <t>二重床（公式未確認・ポータル記載のみ）</t>
        </is>
      </c>
      <c r="E102" s="4" t="n"/>
      <c r="F102" s="4" t="n"/>
      <c r="G102" s="4" t="n"/>
      <c r="H102" s="4" t="n"/>
      <c r="I102" s="4" t="inlineStr">
        <is>
          <t>未確認</t>
        </is>
      </c>
    </row>
    <row r="103">
      <c r="A103" s="4" t="inlineStr">
        <is>
          <t>04</t>
        </is>
      </c>
      <c r="B103" s="4" t="inlineStr">
        <is>
          <t>パークコート赤坂ザタワー</t>
        </is>
      </c>
      <c r="C103" s="4" t="inlineStr">
        <is>
          <t>未確認</t>
        </is>
      </c>
      <c r="D103" s="4" t="inlineStr">
        <is>
          <t>内廊下（公式未確認・ポータル記載のみ）</t>
        </is>
      </c>
      <c r="E103" s="4" t="n"/>
      <c r="F103" s="4" t="n"/>
      <c r="G103" s="4" t="n"/>
      <c r="H103" s="4" t="n"/>
      <c r="I103" s="4" t="inlineStr">
        <is>
          <t>未確認</t>
        </is>
      </c>
    </row>
    <row r="104">
      <c r="A104" s="4" t="inlineStr">
        <is>
          <t>04</t>
        </is>
      </c>
      <c r="B104" s="4" t="inlineStr">
        <is>
          <t>パークコート赤坂ザタワー</t>
        </is>
      </c>
      <c r="C104" s="4" t="inlineStr">
        <is>
          <t>未確認</t>
        </is>
      </c>
      <c r="D104" s="4" t="inlineStr">
        <is>
          <t>フィットネスの有無</t>
        </is>
      </c>
      <c r="E104" s="4" t="n"/>
      <c r="F104" s="4" t="n"/>
      <c r="G104" s="4" t="n"/>
      <c r="H104" s="4" t="n"/>
      <c r="I104" s="4" t="inlineStr">
        <is>
          <t>未確認</t>
        </is>
      </c>
    </row>
    <row r="105">
      <c r="A105" s="4" t="inlineStr">
        <is>
          <t>04</t>
        </is>
      </c>
      <c r="B105" s="4" t="inlineStr">
        <is>
          <t>パークコート赤坂ザタワー</t>
        </is>
      </c>
      <c r="C105" s="4" t="inlineStr">
        <is>
          <t>未確認</t>
        </is>
      </c>
      <c r="D105" s="4" t="inlineStr">
        <is>
          <t>角住戸か</t>
        </is>
      </c>
      <c r="E105" s="4" t="n"/>
      <c r="F105" s="4" t="n"/>
      <c r="G105" s="4" t="n"/>
      <c r="H105" s="4" t="n"/>
      <c r="I105" s="4" t="inlineStr">
        <is>
          <t>未確認</t>
        </is>
      </c>
    </row>
    <row r="106">
      <c r="A106" s="4" t="inlineStr">
        <is>
          <t>04</t>
        </is>
      </c>
      <c r="B106" s="4" t="inlineStr">
        <is>
          <t>パークコート赤坂ザタワー</t>
        </is>
      </c>
      <c r="C106" s="4" t="inlineStr">
        <is>
          <t>未確認</t>
        </is>
      </c>
      <c r="D106" s="4" t="inlineStr">
        <is>
          <t>現況</t>
        </is>
      </c>
      <c r="E106" s="4" t="n"/>
      <c r="F106" s="4" t="n"/>
      <c r="G106" s="4" t="n"/>
      <c r="H106" s="4" t="n"/>
      <c r="I106" s="4" t="inlineStr">
        <is>
          <t>未確認</t>
        </is>
      </c>
    </row>
    <row r="107">
      <c r="A107" s="4" t="inlineStr">
        <is>
          <t>04</t>
        </is>
      </c>
      <c r="B107" s="4" t="inlineStr">
        <is>
          <t>パークコート赤坂ザタワー</t>
        </is>
      </c>
      <c r="C107" s="4" t="inlineStr">
        <is>
          <t>未確認</t>
        </is>
      </c>
      <c r="D107" s="4" t="inlineStr">
        <is>
          <t>引渡時期</t>
        </is>
      </c>
      <c r="E107" s="4" t="n"/>
      <c r="F107" s="4" t="n"/>
      <c r="G107" s="4" t="n"/>
      <c r="H107" s="4" t="n"/>
      <c r="I107" s="4" t="inlineStr">
        <is>
          <t>未確認</t>
        </is>
      </c>
    </row>
    <row r="108">
      <c r="A108" s="4" t="inlineStr">
        <is>
          <t>04</t>
        </is>
      </c>
      <c r="B108" s="4" t="inlineStr">
        <is>
          <t>パークコート赤坂ザタワー</t>
        </is>
      </c>
      <c r="C108" s="4" t="inlineStr">
        <is>
          <t>未確認</t>
        </is>
      </c>
      <c r="D108" s="4" t="inlineStr">
        <is>
          <t>家具相談</t>
        </is>
      </c>
      <c r="E108" s="4" t="n"/>
      <c r="F108" s="4" t="n"/>
      <c r="G108" s="4" t="n"/>
      <c r="H108" s="4" t="n"/>
      <c r="I108" s="4" t="inlineStr">
        <is>
          <t>未確認</t>
        </is>
      </c>
    </row>
    <row r="109">
      <c r="A109" s="4" t="inlineStr">
        <is>
          <t>04</t>
        </is>
      </c>
      <c r="B109" s="4" t="inlineStr">
        <is>
          <t>パークコート赤坂ザタワー</t>
        </is>
      </c>
      <c r="C109" s="4" t="inlineStr">
        <is>
          <t>未確認</t>
        </is>
      </c>
      <c r="D109" s="4" t="inlineStr">
        <is>
          <t>リノベ後の床暖房・ディスポーザー・浴室乾燥機の有無</t>
        </is>
      </c>
      <c r="E109" s="4" t="n"/>
      <c r="F109" s="4" t="n"/>
      <c r="G109" s="4" t="n"/>
      <c r="H109" s="4" t="n"/>
      <c r="I109" s="4" t="inlineStr">
        <is>
          <t>未確認</t>
        </is>
      </c>
    </row>
    <row r="110">
      <c r="A110" s="4" t="inlineStr">
        <is>
          <t>04</t>
        </is>
      </c>
      <c r="B110" s="4" t="inlineStr">
        <is>
          <t>パークコート赤坂ザタワー</t>
        </is>
      </c>
      <c r="C110" s="4" t="inlineStr">
        <is>
          <t>未確認</t>
        </is>
      </c>
      <c r="D110" s="4" t="inlineStr">
        <is>
          <t>ペット細則の内容</t>
        </is>
      </c>
      <c r="E110" s="4" t="n"/>
      <c r="F110" s="4" t="n"/>
      <c r="G110" s="4" t="n"/>
      <c r="H110" s="4" t="n"/>
      <c r="I110" s="4" t="inlineStr">
        <is>
          <t>未確認</t>
        </is>
      </c>
    </row>
    <row r="111">
      <c r="A111" s="4" t="inlineStr">
        <is>
          <t>04</t>
        </is>
      </c>
      <c r="B111" s="4" t="inlineStr">
        <is>
          <t>パークコート赤坂ザタワー</t>
        </is>
      </c>
      <c r="C111" s="4" t="inlineStr">
        <is>
          <t>未確認</t>
        </is>
      </c>
      <c r="D111" s="4" t="inlineStr">
        <is>
          <t>ゲストルーム・ラウンジの料金・利用条件</t>
        </is>
      </c>
      <c r="E111" s="4" t="n"/>
      <c r="F111" s="4" t="n"/>
      <c r="G111" s="4" t="n"/>
      <c r="H111" s="4" t="n"/>
      <c r="I111" s="4" t="inlineStr">
        <is>
          <t>未確認</t>
        </is>
      </c>
    </row>
    <row r="112">
      <c r="A112" s="4" t="inlineStr">
        <is>
          <t>04</t>
        </is>
      </c>
      <c r="B112" s="4" t="inlineStr">
        <is>
          <t>パークコート赤坂ザタワー</t>
        </is>
      </c>
      <c r="C112" s="4" t="inlineStr">
        <is>
          <t>未確認</t>
        </is>
      </c>
      <c r="D112" s="4" t="inlineStr">
        <is>
          <t>コンサバトリー・ガーデンラウンジ・パーティールームの所在階</t>
        </is>
      </c>
      <c r="E112" s="4" t="n"/>
      <c r="F112" s="4" t="n"/>
      <c r="G112" s="4" t="n"/>
      <c r="H112" s="4" t="n"/>
      <c r="I112" s="4" t="inlineStr">
        <is>
          <t>未確認</t>
        </is>
      </c>
    </row>
    <row r="113">
      <c r="A113" s="4" t="inlineStr">
        <is>
          <t>04</t>
        </is>
      </c>
      <c r="B113" s="4" t="inlineStr">
        <is>
          <t>パークコート赤坂ザタワー</t>
        </is>
      </c>
      <c r="C113" s="4" t="inlineStr">
        <is>
          <t>未確認</t>
        </is>
      </c>
      <c r="D113" s="4" t="inlineStr">
        <is>
          <t>スカイデッキの現況利用可否</t>
        </is>
      </c>
      <c r="E113" s="4" t="n"/>
      <c r="F113" s="4" t="n"/>
      <c r="G113" s="4" t="n"/>
      <c r="H113" s="4" t="n"/>
      <c r="I113" s="4" t="inlineStr">
        <is>
          <t>未確認</t>
        </is>
      </c>
    </row>
    <row r="114">
      <c r="A114" s="4" t="inlineStr">
        <is>
          <t>04</t>
        </is>
      </c>
      <c r="B114" s="4" t="inlineStr">
        <is>
          <t>パークコート赤坂ザタワー</t>
        </is>
      </c>
      <c r="C114" s="4" t="inlineStr">
        <is>
          <t>未確認</t>
        </is>
      </c>
      <c r="D114" s="4" t="inlineStr">
        <is>
          <t>港区公式ハザードマップでの確認・液状化</t>
        </is>
      </c>
      <c r="E114" s="4" t="n"/>
      <c r="F114" s="4" t="n"/>
      <c r="G114" s="4" t="n"/>
      <c r="H114" s="4" t="n"/>
      <c r="I114" s="4" t="inlineStr">
        <is>
          <t>未確認</t>
        </is>
      </c>
    </row>
    <row r="115">
      <c r="A115" s="4" t="inlineStr">
        <is>
          <t>04</t>
        </is>
      </c>
      <c r="B115" s="4" t="inlineStr">
        <is>
          <t>パークコート赤坂ザタワー</t>
        </is>
      </c>
      <c r="C115" s="4" t="inlineStr">
        <is>
          <t>未確認</t>
        </is>
      </c>
      <c r="D115" s="4" t="inlineStr">
        <is>
          <t>駐車場使用料の現行額（公式PDFは2021年3月作成）</t>
        </is>
      </c>
      <c r="E115" s="4" t="n"/>
      <c r="F115" s="4" t="n"/>
      <c r="G115" s="4" t="n"/>
      <c r="H115" s="4" t="n"/>
      <c r="I115" s="4" t="inlineStr">
        <is>
          <t>未確認</t>
        </is>
      </c>
    </row>
    <row r="116">
      <c r="A116" s="4" t="inlineStr">
        <is>
          <t>05</t>
        </is>
      </c>
      <c r="B116" s="4" t="inlineStr">
        <is>
          <t>レフィール南麻布</t>
        </is>
      </c>
      <c r="C116" s="4" t="inlineStr">
        <is>
          <t>食い違い</t>
        </is>
      </c>
      <c r="D116" s="4" t="inlineStr">
        <is>
          <t>英字表記</t>
        </is>
      </c>
      <c r="E116" s="4" t="inlineStr">
        <is>
          <t>REFIR MINAMI-AZABU（KEN・Plaza・Housing Japan）</t>
        </is>
      </c>
      <c r="F116" s="4" t="inlineStr">
        <is>
          <t>依頼時想定 REFEEL MINAMIAZABU</t>
        </is>
      </c>
      <c r="G116" s="4" t="inlineStr">
        <is>
          <t>安田不動産公式URLスラッグ refir-minamiazabu</t>
        </is>
      </c>
      <c r="H116" s="4" t="inlineStr">
        <is>
          <t>REFIR MINAMI-AZABU</t>
        </is>
      </c>
      <c r="I116" s="4" t="inlineStr">
        <is>
          <t>解消</t>
        </is>
      </c>
    </row>
    <row r="117">
      <c r="A117" s="4" t="inlineStr">
        <is>
          <t>05</t>
        </is>
      </c>
      <c r="B117" s="4" t="inlineStr">
        <is>
          <t>レフィール南麻布</t>
        </is>
      </c>
      <c r="C117" s="4" t="inlineStr">
        <is>
          <t>食い違い</t>
        </is>
      </c>
      <c r="D117" s="4" t="inlineStr">
        <is>
          <t>総戸数</t>
        </is>
      </c>
      <c r="E117" s="4" t="inlineStr">
        <is>
          <t>18戸（図面A-p10・KEN・e-mansion）</t>
        </is>
      </c>
      <c r="F117" s="4" t="inlineStr">
        <is>
          <t>19戸（MR・DH・ノムコム・住まい1）</t>
        </is>
      </c>
      <c r="G117" s="4" t="inlineStr">
        <is>
          <t>新築時概要で18戸＋事業協力者店舗1戸</t>
        </is>
      </c>
      <c r="H117" s="4" t="inlineStr">
        <is>
          <t>18戸（別途店舗1戸）</t>
        </is>
      </c>
      <c r="I117" s="4" t="inlineStr">
        <is>
          <t>解消</t>
        </is>
      </c>
    </row>
    <row r="118">
      <c r="A118" s="4" t="inlineStr">
        <is>
          <t>05</t>
        </is>
      </c>
      <c r="B118" s="4" t="inlineStr">
        <is>
          <t>レフィール南麻布</t>
        </is>
      </c>
      <c r="C118" s="4" t="inlineStr">
        <is>
          <t>食い違い</t>
        </is>
      </c>
      <c r="D118" s="4" t="inlineStr">
        <is>
          <t>竣工年月</t>
        </is>
      </c>
      <c r="E118" s="4" t="inlineStr">
        <is>
          <t>2020年2月（図面A-p10・SUUMO・MR）</t>
        </is>
      </c>
      <c r="F118" s="4" t="inlineStr">
        <is>
          <t>2020年1月（KEN・ノムコム・クレア）</t>
        </is>
      </c>
      <c r="G118" s="4" t="inlineStr">
        <is>
          <t>安田公式は年のみ。e-mansion新築時概要は2020年02月</t>
        </is>
      </c>
      <c r="H118" s="4" t="inlineStr">
        <is>
          <t>2020年2月</t>
        </is>
      </c>
      <c r="I118" s="4" t="inlineStr">
        <is>
          <t>解消</t>
        </is>
      </c>
    </row>
    <row r="119">
      <c r="A119" s="4" t="inlineStr">
        <is>
          <t>05</t>
        </is>
      </c>
      <c r="B119" s="4" t="inlineStr">
        <is>
          <t>レフィール南麻布</t>
        </is>
      </c>
      <c r="C119" s="4" t="inlineStr">
        <is>
          <t>食い違い</t>
        </is>
      </c>
      <c r="D119" s="4" t="inlineStr">
        <is>
          <t>管理形態/24h有人</t>
        </is>
      </c>
      <c r="E119" s="4" t="inlineStr">
        <is>
          <t>全部委託・日勤（住まい1・MR・SUUMO）</t>
        </is>
      </c>
      <c r="F119" s="4" t="inlineStr">
        <is>
          <t>24時間管理・コンシェルジュ24時間（Plaza・ブログ）</t>
        </is>
      </c>
      <c r="G119" s="4" t="inlineStr">
        <is>
          <t>公式確認できず</t>
        </is>
      </c>
      <c r="H119" s="4" t="inlineStr">
        <is>
          <t>管理員日勤＋コンシェルジュあり、24h有人は要確認</t>
        </is>
      </c>
      <c r="I119" s="4" t="inlineStr">
        <is>
          <t>未確認</t>
        </is>
      </c>
    </row>
    <row r="120">
      <c r="A120" s="4" t="inlineStr">
        <is>
          <t>05</t>
        </is>
      </c>
      <c r="B120" s="4" t="inlineStr">
        <is>
          <t>レフィール南麻布</t>
        </is>
      </c>
      <c r="C120" s="4" t="inlineStr">
        <is>
          <t>食い違い</t>
        </is>
      </c>
      <c r="D120" s="4" t="inlineStr">
        <is>
          <t>小学校学区</t>
        </is>
      </c>
      <c r="E120" s="4" t="inlineStr">
        <is>
          <t>本村小（港区公式PDF・KEN）</t>
        </is>
      </c>
      <c r="F120" s="4" t="inlineStr">
        <is>
          <t>白金の丘小（クレア）</t>
        </is>
      </c>
      <c r="G120" s="4" t="inlineStr">
        <is>
          <t>港区通学区域一覧で南麻布4丁目1〜12番は本村小</t>
        </is>
      </c>
      <c r="H120" s="4" t="inlineStr">
        <is>
          <t>本村小学校</t>
        </is>
      </c>
      <c r="I120" s="4" t="inlineStr">
        <is>
          <t>解消</t>
        </is>
      </c>
    </row>
    <row r="121">
      <c r="A121" s="4" t="inlineStr">
        <is>
          <t>05</t>
        </is>
      </c>
      <c r="B121" s="4" t="inlineStr">
        <is>
          <t>レフィール南麻布</t>
        </is>
      </c>
      <c r="C121" s="4" t="inlineStr">
        <is>
          <t>食い違い</t>
        </is>
      </c>
      <c r="D121" s="4" t="inlineStr">
        <is>
          <t>トランクルーム使用料</t>
        </is>
      </c>
      <c r="E121" s="4" t="inlineStr">
        <is>
          <t>5,300円（本住戸B1コンセント付・図面）</t>
        </is>
      </c>
      <c r="F121" s="4" t="inlineStr">
        <is>
          <t>10,000円（別住戸SUUMO・クレア）</t>
        </is>
      </c>
      <c r="G121" s="4" t="inlineStr">
        <is>
          <t>区画違いと推定</t>
        </is>
      </c>
      <c r="H121" s="4" t="inlineStr">
        <is>
          <t>5,300円</t>
        </is>
      </c>
      <c r="I121" s="4" t="inlineStr">
        <is>
          <t>解消</t>
        </is>
      </c>
    </row>
    <row r="122">
      <c r="A122" s="4" t="inlineStr">
        <is>
          <t>05</t>
        </is>
      </c>
      <c r="B122" s="4" t="inlineStr">
        <is>
          <t>レフィール南麻布</t>
        </is>
      </c>
      <c r="C122" s="4" t="inlineStr">
        <is>
          <t>食い違い</t>
        </is>
      </c>
      <c r="D122" s="4" t="inlineStr">
        <is>
          <t>その他費用17,855円</t>
        </is>
      </c>
      <c r="E122" s="4" t="inlineStr">
        <is>
          <t>10,000+2,255+300+5,300（図面A-p10）</t>
        </is>
      </c>
      <c r="F122" s="4" t="inlineStr">
        <is>
          <t>-</t>
        </is>
      </c>
      <c r="G122" s="4" t="inlineStr">
        <is>
          <t>合計一致</t>
        </is>
      </c>
      <c r="H122" s="4" t="inlineStr">
        <is>
          <t>17,855円</t>
        </is>
      </c>
      <c r="I122" s="4" t="inlineStr">
        <is>
          <t>解消</t>
        </is>
      </c>
    </row>
    <row r="123">
      <c r="A123" s="4" t="inlineStr">
        <is>
          <t>05</t>
        </is>
      </c>
      <c r="B123" s="4" t="inlineStr">
        <is>
          <t>レフィール南麻布</t>
        </is>
      </c>
      <c r="C123" s="4" t="inlineStr">
        <is>
          <t>食い違い</t>
        </is>
      </c>
      <c r="D123" s="4" t="inlineStr">
        <is>
          <t>間取り表記</t>
        </is>
      </c>
      <c r="E123" s="4" t="inlineStr">
        <is>
          <t>3SLDK＋2WIC＋UT＋SIC（図面）</t>
        </is>
      </c>
      <c r="F123" s="4" t="inlineStr">
        <is>
          <t>3LDK＋2WIC＋WIP＋SIC＋U（MM過去売出）</t>
        </is>
      </c>
      <c r="G123" s="4" t="inlineStr">
        <is>
          <t>リフォーム後現況図面なし</t>
        </is>
      </c>
      <c r="H123" s="4" t="inlineStr">
        <is>
          <t>図面表記</t>
        </is>
      </c>
      <c r="I123" s="4" t="inlineStr">
        <is>
          <t>未確認</t>
        </is>
      </c>
    </row>
    <row r="124">
      <c r="A124" s="4" t="inlineStr">
        <is>
          <t>05</t>
        </is>
      </c>
      <c r="B124" s="4" t="inlineStr">
        <is>
          <t>レフィール南麻布</t>
        </is>
      </c>
      <c r="C124" s="4" t="inlineStr">
        <is>
          <t>未確認</t>
        </is>
      </c>
      <c r="D124" s="4" t="inlineStr">
        <is>
          <t>耐震・免震・制震</t>
        </is>
      </c>
      <c r="E124" s="4" t="n"/>
      <c r="F124" s="4" t="n"/>
      <c r="G124" s="4" t="n"/>
      <c r="H124" s="4" t="n"/>
      <c r="I124" s="4" t="inlineStr">
        <is>
          <t>未確認</t>
        </is>
      </c>
    </row>
    <row r="125">
      <c r="A125" s="4" t="inlineStr">
        <is>
          <t>05</t>
        </is>
      </c>
      <c r="B125" s="4" t="inlineStr">
        <is>
          <t>レフィール南麻布</t>
        </is>
      </c>
      <c r="C125" s="4" t="inlineStr">
        <is>
          <t>未確認</t>
        </is>
      </c>
      <c r="D125" s="4" t="inlineStr">
        <is>
          <t>二重床・二重天井・天井高</t>
        </is>
      </c>
      <c r="E125" s="4" t="n"/>
      <c r="F125" s="4" t="n"/>
      <c r="G125" s="4" t="n"/>
      <c r="H125" s="4" t="n"/>
      <c r="I125" s="4" t="inlineStr">
        <is>
          <t>未確認</t>
        </is>
      </c>
    </row>
    <row r="126">
      <c r="A126" s="4" t="inlineStr">
        <is>
          <t>05</t>
        </is>
      </c>
      <c r="B126" s="4" t="inlineStr">
        <is>
          <t>レフィール南麻布</t>
        </is>
      </c>
      <c r="C126" s="4" t="inlineStr">
        <is>
          <t>未確認</t>
        </is>
      </c>
      <c r="D126" s="4" t="inlineStr">
        <is>
          <t>大規模修繕の実施時期・計画</t>
        </is>
      </c>
      <c r="E126" s="4" t="n"/>
      <c r="F126" s="4" t="n"/>
      <c r="G126" s="4" t="n"/>
      <c r="H126" s="4" t="n"/>
      <c r="I126" s="4" t="inlineStr">
        <is>
          <t>未確認</t>
        </is>
      </c>
    </row>
    <row r="127">
      <c r="A127" s="4" t="inlineStr">
        <is>
          <t>05</t>
        </is>
      </c>
      <c r="B127" s="4" t="inlineStr">
        <is>
          <t>レフィール南麻布</t>
        </is>
      </c>
      <c r="C127" s="4" t="inlineStr">
        <is>
          <t>未確認</t>
        </is>
      </c>
      <c r="D127" s="4" t="inlineStr">
        <is>
          <t>24時間有人管理の有無</t>
        </is>
      </c>
      <c r="E127" s="4" t="n"/>
      <c r="F127" s="4" t="n"/>
      <c r="G127" s="4" t="n"/>
      <c r="H127" s="4" t="n"/>
      <c r="I127" s="4" t="inlineStr">
        <is>
          <t>未確認</t>
        </is>
      </c>
    </row>
    <row r="128">
      <c r="A128" s="4" t="inlineStr">
        <is>
          <t>05</t>
        </is>
      </c>
      <c r="B128" s="4" t="inlineStr">
        <is>
          <t>レフィール南麻布</t>
        </is>
      </c>
      <c r="C128" s="4" t="inlineStr">
        <is>
          <t>未確認</t>
        </is>
      </c>
      <c r="D128" s="4" t="inlineStr">
        <is>
          <t>中学校学区</t>
        </is>
      </c>
      <c r="E128" s="4" t="n"/>
      <c r="F128" s="4" t="n"/>
      <c r="G128" s="4" t="n"/>
      <c r="H128" s="4" t="n"/>
      <c r="I128" s="4" t="inlineStr">
        <is>
          <t>未確認</t>
        </is>
      </c>
    </row>
    <row r="129">
      <c r="A129" s="4" t="inlineStr">
        <is>
          <t>05</t>
        </is>
      </c>
      <c r="B129" s="4" t="inlineStr">
        <is>
          <t>レフィール南麻布</t>
        </is>
      </c>
      <c r="C129" s="4" t="inlineStr">
        <is>
          <t>未確認</t>
        </is>
      </c>
      <c r="D129" s="4" t="inlineStr">
        <is>
          <t>近隣病院と距離</t>
        </is>
      </c>
      <c r="E129" s="4" t="n"/>
      <c r="F129" s="4" t="n"/>
      <c r="G129" s="4" t="n"/>
      <c r="H129" s="4" t="n"/>
      <c r="I129" s="4" t="inlineStr">
        <is>
          <t>未確認</t>
        </is>
      </c>
    </row>
    <row r="130">
      <c r="A130" s="4" t="inlineStr">
        <is>
          <t>05</t>
        </is>
      </c>
      <c r="B130" s="4" t="inlineStr">
        <is>
          <t>レフィール南麻布</t>
        </is>
      </c>
      <c r="C130" s="4" t="inlineStr">
        <is>
          <t>未確認</t>
        </is>
      </c>
      <c r="D130" s="4" t="inlineStr">
        <is>
          <t>液状化・港区公式ハザードでの敷地単位判定</t>
        </is>
      </c>
      <c r="E130" s="4" t="n"/>
      <c r="F130" s="4" t="n"/>
      <c r="G130" s="4" t="n"/>
      <c r="H130" s="4" t="n"/>
      <c r="I130" s="4" t="inlineStr">
        <is>
          <t>未確認</t>
        </is>
      </c>
    </row>
    <row r="131">
      <c r="A131" s="4" t="inlineStr">
        <is>
          <t>05</t>
        </is>
      </c>
      <c r="B131" s="4" t="inlineStr">
        <is>
          <t>レフィール南麻布</t>
        </is>
      </c>
      <c r="C131" s="4" t="inlineStr">
        <is>
          <t>未確認</t>
        </is>
      </c>
      <c r="D131" s="4" t="inlineStr">
        <is>
          <t>リフォーム内容・設備メーカー</t>
        </is>
      </c>
      <c r="E131" s="4" t="n"/>
      <c r="F131" s="4" t="n"/>
      <c r="G131" s="4" t="n"/>
      <c r="H131" s="4" t="n"/>
      <c r="I131" s="4" t="inlineStr">
        <is>
          <t>未確認</t>
        </is>
      </c>
    </row>
    <row r="132">
      <c r="A132" s="4" t="inlineStr">
        <is>
          <t>05</t>
        </is>
      </c>
      <c r="B132" s="4" t="inlineStr">
        <is>
          <t>レフィール南麻布</t>
        </is>
      </c>
      <c r="C132" s="4" t="inlineStr">
        <is>
          <t>未確認</t>
        </is>
      </c>
      <c r="D132" s="4" t="inlineStr">
        <is>
          <t>眺望</t>
        </is>
      </c>
      <c r="E132" s="4" t="n"/>
      <c r="F132" s="4" t="n"/>
      <c r="G132" s="4" t="n"/>
      <c r="H132" s="4" t="n"/>
      <c r="I132" s="4" t="inlineStr">
        <is>
          <t>未確認</t>
        </is>
      </c>
    </row>
    <row r="133">
      <c r="A133" s="4" t="inlineStr">
        <is>
          <t>05</t>
        </is>
      </c>
      <c r="B133" s="4" t="inlineStr">
        <is>
          <t>レフィール南麻布</t>
        </is>
      </c>
      <c r="C133" s="4" t="inlineStr">
        <is>
          <t>未確認</t>
        </is>
      </c>
      <c r="D133" s="4" t="inlineStr">
        <is>
          <t>引渡時期</t>
        </is>
      </c>
      <c r="E133" s="4" t="n"/>
      <c r="F133" s="4" t="n"/>
      <c r="G133" s="4" t="n"/>
      <c r="H133" s="4" t="n"/>
      <c r="I133" s="4" t="inlineStr">
        <is>
          <t>未確認</t>
        </is>
      </c>
    </row>
    <row r="134">
      <c r="A134" s="4" t="inlineStr">
        <is>
          <t>05</t>
        </is>
      </c>
      <c r="B134" s="4" t="inlineStr">
        <is>
          <t>レフィール南麻布</t>
        </is>
      </c>
      <c r="C134" s="4" t="inlineStr">
        <is>
          <t>未確認</t>
        </is>
      </c>
      <c r="D134" s="4" t="inlineStr">
        <is>
          <t>家具の扱い</t>
        </is>
      </c>
      <c r="E134" s="4" t="n"/>
      <c r="F134" s="4" t="n"/>
      <c r="G134" s="4" t="n"/>
      <c r="H134" s="4" t="n"/>
      <c r="I134" s="4" t="inlineStr">
        <is>
          <t>未確認</t>
        </is>
      </c>
    </row>
    <row r="135">
      <c r="A135" s="4" t="inlineStr">
        <is>
          <t>05</t>
        </is>
      </c>
      <c r="B135" s="4" t="inlineStr">
        <is>
          <t>レフィール南麻布</t>
        </is>
      </c>
      <c r="C135" s="4" t="inlineStr">
        <is>
          <t>未確認</t>
        </is>
      </c>
      <c r="D135" s="4" t="inlineStr">
        <is>
          <t>駐車場空き状況と税込/税抜</t>
        </is>
      </c>
      <c r="E135" s="4" t="n"/>
      <c r="F135" s="4" t="n"/>
      <c r="G135" s="4" t="n"/>
      <c r="H135" s="4" t="n"/>
      <c r="I135" s="4" t="inlineStr">
        <is>
          <t>未確認</t>
        </is>
      </c>
    </row>
    <row r="136">
      <c r="A136" s="4" t="inlineStr">
        <is>
          <t>05</t>
        </is>
      </c>
      <c r="B136" s="4" t="inlineStr">
        <is>
          <t>レフィール南麻布</t>
        </is>
      </c>
      <c r="C136" s="4" t="inlineStr">
        <is>
          <t>未確認</t>
        </is>
      </c>
      <c r="D136" s="4" t="inlineStr">
        <is>
          <t>デザイン監修（橋本夕紀夫氏）の公式裏取り</t>
        </is>
      </c>
      <c r="E136" s="4" t="n"/>
      <c r="F136" s="4" t="n"/>
      <c r="G136" s="4" t="n"/>
      <c r="H136" s="4" t="n"/>
      <c r="I136" s="4" t="inlineStr">
        <is>
          <t>未確認</t>
        </is>
      </c>
    </row>
    <row r="137">
      <c r="A137" s="4" t="inlineStr">
        <is>
          <t>05</t>
        </is>
      </c>
      <c r="B137" s="4" t="inlineStr">
        <is>
          <t>レフィール南麻布</t>
        </is>
      </c>
      <c r="C137" s="4" t="inlineStr">
        <is>
          <t>未確認</t>
        </is>
      </c>
      <c r="D137" s="4" t="inlineStr">
        <is>
          <t>現況間取図・室内写真</t>
        </is>
      </c>
      <c r="E137" s="4" t="n"/>
      <c r="F137" s="4" t="n"/>
      <c r="G137" s="4" t="n"/>
      <c r="H137" s="4" t="n"/>
      <c r="I137" s="4" t="inlineStr">
        <is>
          <t>未確認</t>
        </is>
      </c>
    </row>
    <row r="138">
      <c r="A138" s="4" t="inlineStr">
        <is>
          <t>06</t>
        </is>
      </c>
      <c r="B138" s="4" t="inlineStr">
        <is>
          <t>アークヒルズ仙石山レジデンス</t>
        </is>
      </c>
      <c r="C138" s="4" t="inlineStr">
        <is>
          <t>食い違い</t>
        </is>
      </c>
      <c r="D138" s="4" t="inlineStr">
        <is>
          <t>所在（住居表示）</t>
        </is>
      </c>
      <c r="E138" s="4" t="inlineStr">
        <is>
          <t>六本木1-9-18（A-p11）</t>
        </is>
      </c>
      <c r="F138" s="4" t="inlineStr">
        <is>
          <t>六本木1丁目9-10（A-p12）</t>
        </is>
      </c>
      <c r="G138" s="4" t="inlineStr">
        <is>
          <t>森ビル公式MORI LIVINGはレジデンス所在地を六本木1丁目9-18と記載。9-10は複合棟（森タワー）全体の所在（森ビルPJデータシート・都環境局）</t>
        </is>
      </c>
      <c r="H138" s="4" t="inlineStr">
        <is>
          <t>六本木1丁目9-18</t>
        </is>
      </c>
      <c r="I138" s="4" t="inlineStr">
        <is>
          <t>解消</t>
        </is>
      </c>
    </row>
    <row r="139">
      <c r="A139" s="4" t="inlineStr">
        <is>
          <t>06</t>
        </is>
      </c>
      <c r="B139" s="4" t="inlineStr">
        <is>
          <t>アークヒルズ仙石山レジデンス</t>
        </is>
      </c>
      <c r="C139" s="4" t="inlineStr">
        <is>
          <t>食い違い</t>
        </is>
      </c>
      <c r="D139" s="4" t="inlineStr">
        <is>
          <t>敷地面積</t>
        </is>
      </c>
      <c r="E139" s="4" t="inlineStr">
        <is>
          <t>15,367.5㎡（約719.20坪）（A-p11）</t>
        </is>
      </c>
      <c r="F139" s="4" t="inlineStr">
        <is>
          <t>15,367.75㎡（約4,648.74坪）（A-p12）</t>
        </is>
      </c>
      <c r="G139" s="4" t="inlineStr">
        <is>
          <t>森ビル公式15,367.75㎡。×0.3025＝4,648.74坪。719.20坪は誤記</t>
        </is>
      </c>
      <c r="H139" s="4" t="inlineStr">
        <is>
          <t>15,367.75㎡（約4,648.74坪）</t>
        </is>
      </c>
      <c r="I139" s="4" t="inlineStr">
        <is>
          <t>解消</t>
        </is>
      </c>
    </row>
    <row r="140">
      <c r="A140" s="4" t="inlineStr">
        <is>
          <t>06</t>
        </is>
      </c>
      <c r="B140" s="4" t="inlineStr">
        <is>
          <t>アークヒルズ仙石山レジデンス</t>
        </is>
      </c>
      <c r="C140" s="4" t="inlineStr">
        <is>
          <t>食い違い</t>
        </is>
      </c>
      <c r="D140" s="4" t="inlineStr">
        <is>
          <t>構造（耐震/制震/免震）</t>
        </is>
      </c>
      <c r="E140" s="4" t="inlineStr">
        <is>
          <t>「耐震構造」採用（A-p12）</t>
        </is>
      </c>
      <c r="F140" s="4" t="inlineStr">
        <is>
          <t>制震（ブレーキダンパー・粘性体制震壁）（森ビル公式）</t>
        </is>
      </c>
      <c r="G140" s="4" t="inlineStr">
        <is>
          <t>公式は制震。免震記載なし。同じ三井六本木サロンの別住戸ページも「制震構造」</t>
        </is>
      </c>
      <c r="H140" s="4" t="inlineStr">
        <is>
          <t>制震構造</t>
        </is>
      </c>
      <c r="I140" s="4" t="inlineStr">
        <is>
          <t>解消</t>
        </is>
      </c>
    </row>
    <row r="141">
      <c r="A141" s="4" t="inlineStr">
        <is>
          <t>06</t>
        </is>
      </c>
      <c r="B141" s="4" t="inlineStr">
        <is>
          <t>アークヒルズ仙石山レジデンス</t>
        </is>
      </c>
      <c r="C141" s="4" t="inlineStr">
        <is>
          <t>食い違い</t>
        </is>
      </c>
      <c r="D141" s="4" t="inlineStr">
        <is>
          <t>駐車場料金</t>
        </is>
      </c>
      <c r="E141" s="4" t="inlineStr">
        <is>
          <t>44,000～49,500円（A-p11）</t>
        </is>
      </c>
      <c r="F141" s="4" t="inlineStr">
        <is>
          <t>中型ノーマル50,000円／中型ハイルーフ55,000円（A-p12、令和8年8月24日現在）</t>
        </is>
      </c>
      <c r="G141" s="4" t="inlineStr">
        <is>
          <t>公式に料金記載なし。HJサイトは44,000～100,000円</t>
        </is>
      </c>
      <c r="H141" s="4" t="inlineStr">
        <is>
          <t>A-p12（日付あり）を暫定優先、要管理会社確認</t>
        </is>
      </c>
      <c r="I141" s="4" t="inlineStr">
        <is>
          <t>未確認</t>
        </is>
      </c>
    </row>
    <row r="142">
      <c r="A142" s="4" t="inlineStr">
        <is>
          <t>06</t>
        </is>
      </c>
      <c r="B142" s="4" t="inlineStr">
        <is>
          <t>アークヒルズ仙石山レジデンス</t>
        </is>
      </c>
      <c r="C142" s="4" t="inlineStr">
        <is>
          <t>食い違い</t>
        </is>
      </c>
      <c r="D142" s="4" t="inlineStr">
        <is>
          <t>構造種別</t>
        </is>
      </c>
      <c r="E142" s="4" t="inlineStr">
        <is>
          <t>SRC造（図面2社）</t>
        </is>
      </c>
      <c r="F142" s="4" t="inlineStr">
        <is>
          <t>RC造一部S造（森ビル公式）</t>
        </is>
      </c>
      <c r="G142" s="4" t="inlineStr">
        <is>
          <t>公式はRC造一部S造</t>
        </is>
      </c>
      <c r="H142" s="4" t="inlineStr">
        <is>
          <t>RC造一部S造</t>
        </is>
      </c>
      <c r="I142" s="4" t="inlineStr">
        <is>
          <t>解消</t>
        </is>
      </c>
    </row>
    <row r="143">
      <c r="A143" s="4" t="inlineStr">
        <is>
          <t>06</t>
        </is>
      </c>
      <c r="B143" s="4" t="inlineStr">
        <is>
          <t>アークヒルズ仙石山レジデンス</t>
        </is>
      </c>
      <c r="C143" s="4" t="inlineStr">
        <is>
          <t>食い違い</t>
        </is>
      </c>
      <c r="D143" s="4" t="inlineStr">
        <is>
          <t>管理費</t>
        </is>
      </c>
      <c r="E143" s="4" t="inlineStr">
        <is>
          <t>134,830円（図面2社）</t>
        </is>
      </c>
      <c r="F143" s="4" t="inlineStr">
        <is>
          <t>125,780円（HJサイト、項目入替表示）</t>
        </is>
      </c>
      <c r="G143" s="4" t="inlineStr">
        <is>
          <t>別住戸の㎡単価（約641円）と図面値が整合</t>
        </is>
      </c>
      <c r="H143" s="4" t="inlineStr">
        <is>
          <t>134,830円</t>
        </is>
      </c>
      <c r="I143" s="4" t="inlineStr">
        <is>
          <t>解消</t>
        </is>
      </c>
    </row>
    <row r="144">
      <c r="A144" s="4" t="inlineStr">
        <is>
          <t>06</t>
        </is>
      </c>
      <c r="B144" s="4" t="inlineStr">
        <is>
          <t>アークヒルズ仙石山レジデンス</t>
        </is>
      </c>
      <c r="C144" s="4" t="inlineStr">
        <is>
          <t>食い違い</t>
        </is>
      </c>
      <c r="D144" s="4" t="inlineStr">
        <is>
          <t>コンロ種別</t>
        </is>
      </c>
      <c r="E144" s="4" t="inlineStr">
        <is>
          <t>●ＩＨ（ハウジング・ジャパン図面 A-p11 テキスト）</t>
        </is>
      </c>
      <c r="F144" s="4" t="inlineStr">
        <is>
          <t>ガスコンロ（HJ写真目視）</t>
        </is>
      </c>
      <c r="G144" s="4" t="inlineStr">
        <is>
          <t>図面A-p11にＩＨ表記あり・写真はガスコンロに見え矛盾</t>
        </is>
      </c>
      <c r="H144" s="4" t="inlineStr">
        <is>
          <t>未確認（元付へ現況確認）</t>
        </is>
      </c>
      <c r="I144" s="4" t="inlineStr">
        <is>
          <t>未確認</t>
        </is>
      </c>
    </row>
    <row r="145">
      <c r="A145" s="4" t="inlineStr">
        <is>
          <t>06</t>
        </is>
      </c>
      <c r="B145" s="4" t="inlineStr">
        <is>
          <t>アークヒルズ仙石山レジデンス</t>
        </is>
      </c>
      <c r="C145" s="4" t="inlineStr">
        <is>
          <t>未確認</t>
        </is>
      </c>
      <c r="D145" s="4" t="inlineStr">
        <is>
          <t>駐車場の現行料金</t>
        </is>
      </c>
      <c r="E145" s="4" t="n"/>
      <c r="F145" s="4" t="n"/>
      <c r="G145" s="4" t="n"/>
      <c r="H145" s="4" t="n"/>
      <c r="I145" s="4" t="inlineStr">
        <is>
          <t>未確認</t>
        </is>
      </c>
    </row>
    <row r="146">
      <c r="A146" s="4" t="inlineStr">
        <is>
          <t>06</t>
        </is>
      </c>
      <c r="B146" s="4" t="inlineStr">
        <is>
          <t>アークヒルズ仙石山レジデンス</t>
        </is>
      </c>
      <c r="C146" s="4" t="inlineStr">
        <is>
          <t>未確認</t>
        </is>
      </c>
      <c r="D146" s="4" t="inlineStr">
        <is>
          <t>溜池山王駅の徒歩分数（10分/15分）</t>
        </is>
      </c>
      <c r="E146" s="4" t="n"/>
      <c r="F146" s="4" t="n"/>
      <c r="G146" s="4" t="n"/>
      <c r="H146" s="4" t="n"/>
      <c r="I146" s="4" t="inlineStr">
        <is>
          <t>未確認</t>
        </is>
      </c>
    </row>
    <row r="147">
      <c r="A147" s="4" t="inlineStr">
        <is>
          <t>06</t>
        </is>
      </c>
      <c r="B147" s="4" t="inlineStr">
        <is>
          <t>アークヒルズ仙石山レジデンス</t>
        </is>
      </c>
      <c r="C147" s="4" t="inlineStr">
        <is>
          <t>未確認</t>
        </is>
      </c>
      <c r="D147" s="4" t="inlineStr">
        <is>
          <t>三井REALPLAN物件ページ（FSABQA0Cが404）</t>
        </is>
      </c>
      <c r="E147" s="4" t="n"/>
      <c r="F147" s="4" t="n"/>
      <c r="G147" s="4" t="n"/>
      <c r="H147" s="4" t="n"/>
      <c r="I147" s="4" t="inlineStr">
        <is>
          <t>未確認</t>
        </is>
      </c>
    </row>
    <row r="148">
      <c r="A148" s="4" t="inlineStr">
        <is>
          <t>06</t>
        </is>
      </c>
      <c r="B148" s="4" t="inlineStr">
        <is>
          <t>アークヒルズ仙石山レジデンス</t>
        </is>
      </c>
      <c r="C148" s="4" t="inlineStr">
        <is>
          <t>未確認</t>
        </is>
      </c>
      <c r="D148" s="4" t="inlineStr">
        <is>
          <t>大規模修繕の実施時期/予定</t>
        </is>
      </c>
      <c r="E148" s="4" t="n"/>
      <c r="F148" s="4" t="n"/>
      <c r="G148" s="4" t="n"/>
      <c r="H148" s="4" t="n"/>
      <c r="I148" s="4" t="inlineStr">
        <is>
          <t>未確認</t>
        </is>
      </c>
    </row>
    <row r="149">
      <c r="A149" s="4" t="inlineStr">
        <is>
          <t>06</t>
        </is>
      </c>
      <c r="B149" s="4" t="inlineStr">
        <is>
          <t>アークヒルズ仙石山レジデンス</t>
        </is>
      </c>
      <c r="C149" s="4" t="inlineStr">
        <is>
          <t>未確認</t>
        </is>
      </c>
      <c r="D149" s="4" t="inlineStr">
        <is>
          <t>バルコニー使用料</t>
        </is>
      </c>
      <c r="E149" s="4" t="n"/>
      <c r="F149" s="4" t="n"/>
      <c r="G149" s="4" t="n"/>
      <c r="H149" s="4" t="n"/>
      <c r="I149" s="4" t="inlineStr">
        <is>
          <t>未確認</t>
        </is>
      </c>
    </row>
    <row r="150">
      <c r="A150" s="4" t="inlineStr">
        <is>
          <t>06</t>
        </is>
      </c>
      <c r="B150" s="4" t="inlineStr">
        <is>
          <t>アークヒルズ仙石山レジデンス</t>
        </is>
      </c>
      <c r="C150" s="4" t="inlineStr">
        <is>
          <t>未確認</t>
        </is>
      </c>
      <c r="D150" s="4" t="inlineStr">
        <is>
          <t>リフォーム履歴</t>
        </is>
      </c>
      <c r="E150" s="4" t="n"/>
      <c r="F150" s="4" t="n"/>
      <c r="G150" s="4" t="n"/>
      <c r="H150" s="4" t="n"/>
      <c r="I150" s="4" t="inlineStr">
        <is>
          <t>未確認</t>
        </is>
      </c>
    </row>
    <row r="151">
      <c r="A151" s="4" t="inlineStr">
        <is>
          <t>06</t>
        </is>
      </c>
      <c r="B151" s="4" t="inlineStr">
        <is>
          <t>アークヒルズ仙石山レジデンス</t>
        </is>
      </c>
      <c r="C151" s="4" t="inlineStr">
        <is>
          <t>未確認</t>
        </is>
      </c>
      <c r="D151" s="4" t="inlineStr">
        <is>
          <t>室内設備メーカー名</t>
        </is>
      </c>
      <c r="E151" s="4" t="n"/>
      <c r="F151" s="4" t="n"/>
      <c r="G151" s="4" t="n"/>
      <c r="H151" s="4" t="n"/>
      <c r="I151" s="4" t="inlineStr">
        <is>
          <t>未確認</t>
        </is>
      </c>
    </row>
    <row r="152">
      <c r="A152" s="4" t="inlineStr">
        <is>
          <t>06</t>
        </is>
      </c>
      <c r="B152" s="4" t="inlineStr">
        <is>
          <t>アークヒルズ仙石山レジデンス</t>
        </is>
      </c>
      <c r="C152" s="4" t="inlineStr">
        <is>
          <t>未確認</t>
        </is>
      </c>
      <c r="D152" s="4" t="inlineStr">
        <is>
          <t>二重床/二重天井</t>
        </is>
      </c>
      <c r="E152" s="4" t="n"/>
      <c r="F152" s="4" t="n"/>
      <c r="G152" s="4" t="n"/>
      <c r="H152" s="4" t="n"/>
      <c r="I152" s="4" t="inlineStr">
        <is>
          <t>未確認</t>
        </is>
      </c>
    </row>
    <row r="153">
      <c r="A153" s="4" t="inlineStr">
        <is>
          <t>06</t>
        </is>
      </c>
      <c r="B153" s="4" t="inlineStr">
        <is>
          <t>アークヒルズ仙石山レジデンス</t>
        </is>
      </c>
      <c r="C153" s="4" t="inlineStr">
        <is>
          <t>未確認</t>
        </is>
      </c>
      <c r="D153" s="4" t="inlineStr">
        <is>
          <t>液状化・内水ハザード</t>
        </is>
      </c>
      <c r="E153" s="4" t="n"/>
      <c r="F153" s="4" t="n"/>
      <c r="G153" s="4" t="n"/>
      <c r="H153" s="4" t="n"/>
      <c r="I153" s="4" t="inlineStr">
        <is>
          <t>未確認</t>
        </is>
      </c>
    </row>
    <row r="154">
      <c r="A154" s="4" t="inlineStr">
        <is>
          <t>06</t>
        </is>
      </c>
      <c r="B154" s="4" t="inlineStr">
        <is>
          <t>アークヒルズ仙石山レジデンス</t>
        </is>
      </c>
      <c r="C154" s="4" t="inlineStr">
        <is>
          <t>未確認</t>
        </is>
      </c>
      <c r="D154" s="4" t="inlineStr">
        <is>
          <t>ゲストルーム・ラウンジ・駐輪場・バイク置場の料金</t>
        </is>
      </c>
      <c r="E154" s="4" t="n"/>
      <c r="F154" s="4" t="n"/>
      <c r="G154" s="4" t="n"/>
      <c r="H154" s="4" t="n"/>
      <c r="I154" s="4" t="inlineStr">
        <is>
          <t>未確認</t>
        </is>
      </c>
    </row>
    <row r="155">
      <c r="A155" s="4" t="inlineStr">
        <is>
          <t>06</t>
        </is>
      </c>
      <c r="B155" s="4" t="inlineStr">
        <is>
          <t>アークヒルズ仙石山レジデンス</t>
        </is>
      </c>
      <c r="C155" s="4" t="inlineStr">
        <is>
          <t>未確認</t>
        </is>
      </c>
      <c r="D155" s="4" t="inlineStr">
        <is>
          <t>分譲住戸向けペット細則</t>
        </is>
      </c>
      <c r="E155" s="4" t="n"/>
      <c r="F155" s="4" t="n"/>
      <c r="G155" s="4" t="n"/>
      <c r="H155" s="4" t="n"/>
      <c r="I155" s="4" t="inlineStr">
        <is>
          <t>未確認</t>
        </is>
      </c>
    </row>
    <row r="156">
      <c r="A156" s="4" t="inlineStr">
        <is>
          <t>07</t>
        </is>
      </c>
      <c r="B156" s="4" t="inlineStr">
        <is>
          <t>元麻布ヒルズフォレストタワー</t>
        </is>
      </c>
      <c r="C156" s="4" t="inlineStr">
        <is>
          <t>食い違い</t>
        </is>
      </c>
      <c r="D156" s="4" t="inlineStr">
        <is>
          <t>築年月の和暦</t>
        </is>
      </c>
      <c r="E156" s="4" t="inlineStr">
        <is>
          <t>平成24年（2002年）5月（図面A-p13）</t>
        </is>
      </c>
      <c r="F156" s="4" t="inlineStr">
        <is>
          <t>2002年5月（森ビル公式・MORI LIVING）</t>
        </is>
      </c>
      <c r="G156" s="4" t="inlineStr">
        <is>
          <t>2002年＝平成14年。図面の平成24年は誤記</t>
        </is>
      </c>
      <c r="H156" s="4" t="inlineStr">
        <is>
          <t>2002年（平成14年）5月</t>
        </is>
      </c>
      <c r="I156" s="4" t="inlineStr">
        <is>
          <t>解消</t>
        </is>
      </c>
    </row>
    <row r="157">
      <c r="A157" s="4" t="inlineStr">
        <is>
          <t>07</t>
        </is>
      </c>
      <c r="B157" s="4" t="inlineStr">
        <is>
          <t>元麻布ヒルズフォレストタワー</t>
        </is>
      </c>
      <c r="C157" s="4" t="inlineStr">
        <is>
          <t>食い違い</t>
        </is>
      </c>
      <c r="D157" s="4" t="inlineStr">
        <is>
          <t>駐輪場</t>
        </is>
      </c>
      <c r="E157" s="4" t="inlineStr">
        <is>
          <t>無（550〜1,100円）（図面A-p13）</t>
        </is>
      </c>
      <c r="F157" s="4" t="inlineStr">
        <is>
          <t>駐輪場あり（MORI LIVING施設一覧）、683台（クレアビジョン）</t>
        </is>
      </c>
      <c r="G157" s="4" t="inlineStr">
        <is>
          <t>存在は公式で確認、料金は公式未確認</t>
        </is>
      </c>
      <c r="H157" s="4" t="inlineStr">
        <is>
          <t>有・550〜1,100円/月（図面値、空き要確認）</t>
        </is>
      </c>
      <c r="I157" s="4" t="inlineStr">
        <is>
          <t>一部未確認</t>
        </is>
      </c>
    </row>
    <row r="158">
      <c r="A158" s="4" t="inlineStr">
        <is>
          <t>07</t>
        </is>
      </c>
      <c r="B158" s="4" t="inlineStr">
        <is>
          <t>元麻布ヒルズフォレストタワー</t>
        </is>
      </c>
      <c r="C158" s="4" t="inlineStr">
        <is>
          <t>食い違い</t>
        </is>
      </c>
      <c r="D158" s="4" t="inlineStr">
        <is>
          <t>敷地面積</t>
        </is>
      </c>
      <c r="E158" s="4" t="inlineStr">
        <is>
          <t>12,119.65㎡（図面A-p13）</t>
        </is>
      </c>
      <c r="F158" s="4" t="inlineStr">
        <is>
          <t>12,380.37㎡実測（テラスイースト図面A-p14、共有持分分母同一3,401,338）</t>
        </is>
      </c>
      <c r="G158" s="4" t="inlineStr">
        <is>
          <t>公式12,308.92㎡（MORI LIVING）／12,309㎡（森ビル公式）。どの図面値とも不一致</t>
        </is>
      </c>
      <c r="H158" s="4" t="inlineStr">
        <is>
          <t>12,308.92㎡（公式）、登記簿で要確認</t>
        </is>
      </c>
      <c r="I158" s="4" t="inlineStr">
        <is>
          <t>未確認</t>
        </is>
      </c>
    </row>
    <row r="159">
      <c r="A159" s="4" t="inlineStr">
        <is>
          <t>07</t>
        </is>
      </c>
      <c r="B159" s="4" t="inlineStr">
        <is>
          <t>元麻布ヒルズフォレストタワー</t>
        </is>
      </c>
      <c r="C159" s="4" t="inlineStr">
        <is>
          <t>食い違い</t>
        </is>
      </c>
      <c r="D159" s="4" t="inlineStr">
        <is>
          <t>総戸数</t>
        </is>
      </c>
      <c r="E159" s="4" t="inlineStr">
        <is>
          <t>222戸（図面）</t>
        </is>
      </c>
      <c r="F159" s="4" t="inlineStr">
        <is>
          <t>180戸（MORI LIVING・SUUMO・東急リバブル）</t>
        </is>
      </c>
      <c r="G159" s="4" t="inlineStr">
        <is>
          <t>222戸は元麻布ヒルズ3棟合計（タワー180・TE23・TW19）</t>
        </is>
      </c>
      <c r="H159" s="4" t="inlineStr">
        <is>
          <t>タワー180戸（全体222戸）</t>
        </is>
      </c>
      <c r="I159" s="4" t="inlineStr">
        <is>
          <t>解消</t>
        </is>
      </c>
    </row>
    <row r="160">
      <c r="A160" s="4" t="inlineStr">
        <is>
          <t>07</t>
        </is>
      </c>
      <c r="B160" s="4" t="inlineStr">
        <is>
          <t>元麻布ヒルズフォレストタワー</t>
        </is>
      </c>
      <c r="C160" s="4" t="inlineStr">
        <is>
          <t>食い違い</t>
        </is>
      </c>
      <c r="D160" s="4" t="inlineStr">
        <is>
          <t>地下階数</t>
        </is>
      </c>
      <c r="E160" s="4" t="inlineStr">
        <is>
          <t>地下4階（図面・KEN・HOME'S）</t>
        </is>
      </c>
      <c r="F160" s="4" t="inlineStr">
        <is>
          <t>地下3階（森ビル公式・MORI LIVING）</t>
        </is>
      </c>
      <c r="G160" s="4" t="inlineStr">
        <is>
          <t>公式は地下3階</t>
        </is>
      </c>
      <c r="H160" s="4" t="inlineStr">
        <is>
          <t>地上29階・地下3階</t>
        </is>
      </c>
      <c r="I160" s="4" t="inlineStr">
        <is>
          <t>解消</t>
        </is>
      </c>
    </row>
    <row r="161">
      <c r="A161" s="4" t="inlineStr">
        <is>
          <t>07</t>
        </is>
      </c>
      <c r="B161" s="4" t="inlineStr">
        <is>
          <t>元麻布ヒルズフォレストタワー</t>
        </is>
      </c>
      <c r="C161" s="4" t="inlineStr">
        <is>
          <t>食い違い</t>
        </is>
      </c>
      <c r="D161" s="4" t="inlineStr">
        <is>
          <t>免震/制震</t>
        </is>
      </c>
      <c r="E161" s="4" t="inlineStr">
        <is>
          <t>免震・制震（クレアビジョン）</t>
        </is>
      </c>
      <c r="F161" s="4" t="inlineStr">
        <is>
          <t>免震構造（MORI LIVING）</t>
        </is>
      </c>
      <c r="G161" s="4" t="inlineStr">
        <is>
          <t>公式は免震のみ</t>
        </is>
      </c>
      <c r="H161" s="4" t="inlineStr">
        <is>
          <t>免震構造</t>
        </is>
      </c>
      <c r="I161" s="4" t="inlineStr">
        <is>
          <t>解消</t>
        </is>
      </c>
    </row>
    <row r="162">
      <c r="A162" s="4" t="inlineStr">
        <is>
          <t>07</t>
        </is>
      </c>
      <c r="B162" s="4" t="inlineStr">
        <is>
          <t>元麻布ヒルズフォレストタワー</t>
        </is>
      </c>
      <c r="C162" s="4" t="inlineStr">
        <is>
          <t>食い違い</t>
        </is>
      </c>
      <c r="D162" s="4" t="inlineStr">
        <is>
          <t>デザイン監修</t>
        </is>
      </c>
      <c r="E162" s="4" t="inlineStr">
        <is>
          <t>内井昭蔵建築設計事務所（森ビル公式）</t>
        </is>
      </c>
      <c r="F162" s="4" t="inlineStr">
        <is>
          <t>Conran&amp;Partners（Wikipedia）</t>
        </is>
      </c>
      <c r="G162" s="4" t="inlineStr">
        <is>
          <t>コンランは一部住戸とスカイラウンジのインテリア</t>
        </is>
      </c>
      <c r="H162" s="4" t="inlineStr">
        <is>
          <t>内井昭蔵氏</t>
        </is>
      </c>
      <c r="I162" s="4" t="inlineStr">
        <is>
          <t>解消</t>
        </is>
      </c>
    </row>
    <row r="163">
      <c r="A163" s="4" t="inlineStr">
        <is>
          <t>07</t>
        </is>
      </c>
      <c r="B163" s="4" t="inlineStr">
        <is>
          <t>元麻布ヒルズフォレストタワー</t>
        </is>
      </c>
      <c r="C163" s="4" t="inlineStr">
        <is>
          <t>食い違い</t>
        </is>
      </c>
      <c r="D163" s="4" t="inlineStr">
        <is>
          <t>麻布十番駅徒歩</t>
        </is>
      </c>
      <c r="E163" s="4" t="inlineStr">
        <is>
          <t>7分（図面）</t>
        </is>
      </c>
      <c r="F163" s="4" t="inlineStr">
        <is>
          <t>8分（MORI LIVING、7番出口）</t>
        </is>
      </c>
      <c r="G163" s="4" t="inlineStr">
        <is>
          <t>公式8分</t>
        </is>
      </c>
      <c r="H163" s="4" t="inlineStr">
        <is>
          <t>併記（公式8分優先候補）</t>
        </is>
      </c>
      <c r="I163" s="4" t="inlineStr">
        <is>
          <t>解消</t>
        </is>
      </c>
    </row>
    <row r="164">
      <c r="A164" s="4" t="inlineStr">
        <is>
          <t>07</t>
        </is>
      </c>
      <c r="B164" s="4" t="inlineStr">
        <is>
          <t>元麻布ヒルズフォレストタワー</t>
        </is>
      </c>
      <c r="C164" s="4" t="inlineStr">
        <is>
          <t>未確認</t>
        </is>
      </c>
      <c r="D164" s="4" t="inlineStr">
        <is>
          <t>24階住戸の向き</t>
        </is>
      </c>
      <c r="E164" s="4" t="n"/>
      <c r="F164" s="4" t="n"/>
      <c r="G164" s="4" t="n"/>
      <c r="H164" s="4" t="n"/>
      <c r="I164" s="4" t="inlineStr">
        <is>
          <t>未確認</t>
        </is>
      </c>
    </row>
    <row r="165">
      <c r="A165" s="4" t="inlineStr">
        <is>
          <t>07</t>
        </is>
      </c>
      <c r="B165" s="4" t="inlineStr">
        <is>
          <t>元麻布ヒルズフォレストタワー</t>
        </is>
      </c>
      <c r="C165" s="4" t="inlineStr">
        <is>
          <t>未確認</t>
        </is>
      </c>
      <c r="D165" s="4" t="inlineStr">
        <is>
          <t>室内設備・仕様（図面別紙未入手）</t>
        </is>
      </c>
      <c r="E165" s="4" t="n"/>
      <c r="F165" s="4" t="n"/>
      <c r="G165" s="4" t="n"/>
      <c r="H165" s="4" t="n"/>
      <c r="I165" s="4" t="inlineStr">
        <is>
          <t>未確認</t>
        </is>
      </c>
    </row>
    <row r="166">
      <c r="A166" s="4" t="inlineStr">
        <is>
          <t>07</t>
        </is>
      </c>
      <c r="B166" s="4" t="inlineStr">
        <is>
          <t>元麻布ヒルズフォレストタワー</t>
        </is>
      </c>
      <c r="C166" s="4" t="inlineStr">
        <is>
          <t>未確認</t>
        </is>
      </c>
      <c r="D166" s="4" t="inlineStr">
        <is>
          <t>リフォーム履歴</t>
        </is>
      </c>
      <c r="E166" s="4" t="n"/>
      <c r="F166" s="4" t="n"/>
      <c r="G166" s="4" t="n"/>
      <c r="H166" s="4" t="n"/>
      <c r="I166" s="4" t="inlineStr">
        <is>
          <t>未確認</t>
        </is>
      </c>
    </row>
    <row r="167">
      <c r="A167" s="4" t="inlineStr">
        <is>
          <t>07</t>
        </is>
      </c>
      <c r="B167" s="4" t="inlineStr">
        <is>
          <t>元麻布ヒルズフォレストタワー</t>
        </is>
      </c>
      <c r="C167" s="4" t="inlineStr">
        <is>
          <t>未確認</t>
        </is>
      </c>
      <c r="D167" s="4" t="inlineStr">
        <is>
          <t>大規模修繕の実施状況（2025年1月予定との第三者記載のみ）</t>
        </is>
      </c>
      <c r="E167" s="4" t="n"/>
      <c r="F167" s="4" t="n"/>
      <c r="G167" s="4" t="n"/>
      <c r="H167" s="4" t="n"/>
      <c r="I167" s="4" t="inlineStr">
        <is>
          <t>未確認</t>
        </is>
      </c>
    </row>
    <row r="168">
      <c r="A168" s="4" t="inlineStr">
        <is>
          <t>07</t>
        </is>
      </c>
      <c r="B168" s="4" t="inlineStr">
        <is>
          <t>元麻布ヒルズフォレストタワー</t>
        </is>
      </c>
      <c r="C168" s="4" t="inlineStr">
        <is>
          <t>未確認</t>
        </is>
      </c>
      <c r="D168" s="4" t="inlineStr">
        <is>
          <t>二重床・二重天井・天井高</t>
        </is>
      </c>
      <c r="E168" s="4" t="n"/>
      <c r="F168" s="4" t="n"/>
      <c r="G168" s="4" t="n"/>
      <c r="H168" s="4" t="n"/>
      <c r="I168" s="4" t="inlineStr">
        <is>
          <t>未確認</t>
        </is>
      </c>
    </row>
    <row r="169">
      <c r="A169" s="4" t="inlineStr">
        <is>
          <t>07</t>
        </is>
      </c>
      <c r="B169" s="4" t="inlineStr">
        <is>
          <t>元麻布ヒルズフォレストタワー</t>
        </is>
      </c>
      <c r="C169" s="4" t="inlineStr">
        <is>
          <t>未確認</t>
        </is>
      </c>
      <c r="D169" s="4" t="inlineStr">
        <is>
          <t>液状化・港区公式ハザードマップ</t>
        </is>
      </c>
      <c r="E169" s="4" t="n"/>
      <c r="F169" s="4" t="n"/>
      <c r="G169" s="4" t="n"/>
      <c r="H169" s="4" t="n"/>
      <c r="I169" s="4" t="inlineStr">
        <is>
          <t>未確認</t>
        </is>
      </c>
    </row>
    <row r="170">
      <c r="A170" s="4" t="inlineStr">
        <is>
          <t>07</t>
        </is>
      </c>
      <c r="B170" s="4" t="inlineStr">
        <is>
          <t>元麻布ヒルズフォレストタワー</t>
        </is>
      </c>
      <c r="C170" s="4" t="inlineStr">
        <is>
          <t>未確認</t>
        </is>
      </c>
      <c r="D170" s="4" t="inlineStr">
        <is>
          <t>敷地面積の図面値と公式値の差の理由</t>
        </is>
      </c>
      <c r="E170" s="4" t="n"/>
      <c r="F170" s="4" t="n"/>
      <c r="G170" s="4" t="n"/>
      <c r="H170" s="4" t="n"/>
      <c r="I170" s="4" t="inlineStr">
        <is>
          <t>未確認</t>
        </is>
      </c>
    </row>
    <row r="171">
      <c r="A171" s="4" t="inlineStr">
        <is>
          <t>07</t>
        </is>
      </c>
      <c r="B171" s="4" t="inlineStr">
        <is>
          <t>元麻布ヒルズフォレストタワー</t>
        </is>
      </c>
      <c r="C171" s="4" t="inlineStr">
        <is>
          <t>未確認</t>
        </is>
      </c>
      <c r="D171" s="4" t="inlineStr">
        <is>
          <t>駐輪場料金・空き状況</t>
        </is>
      </c>
      <c r="E171" s="4" t="n"/>
      <c r="F171" s="4" t="n"/>
      <c r="G171" s="4" t="n"/>
      <c r="H171" s="4" t="n"/>
      <c r="I171" s="4" t="inlineStr">
        <is>
          <t>未確認</t>
        </is>
      </c>
    </row>
    <row r="172">
      <c r="A172" s="4" t="inlineStr">
        <is>
          <t>08</t>
        </is>
      </c>
      <c r="B172" s="4" t="inlineStr">
        <is>
          <t>元麻布ヒルズ フォレストテラスイースト</t>
        </is>
      </c>
      <c r="C172" s="4" t="inlineStr">
        <is>
          <t>食い違い</t>
        </is>
      </c>
      <c r="D172" s="4" t="inlineStr">
        <is>
          <t>管理会社</t>
        </is>
      </c>
      <c r="E172" s="4" t="inlineStr">
        <is>
          <t>空欄（図面 A-p14）</t>
        </is>
      </c>
      <c r="F172" s="4" t="inlineStr">
        <is>
          <t>森ビル株式会社（KEN建物ページ、DH図鑑）</t>
        </is>
      </c>
      <c r="G172" s="4" t="inlineStr">
        <is>
          <t>森ビル公式に管理会社名の記載なし。図面特徴欄『森ビルによる24時間有人管理』と整合</t>
        </is>
      </c>
      <c r="H172" s="4" t="inlineStr">
        <is>
          <t>森ビル株式会社（要重説確認）</t>
        </is>
      </c>
      <c r="I172" s="4" t="inlineStr">
        <is>
          <t>一部解消</t>
        </is>
      </c>
    </row>
    <row r="173">
      <c r="A173" s="4" t="inlineStr">
        <is>
          <t>08</t>
        </is>
      </c>
      <c r="B173" s="4" t="inlineStr">
        <is>
          <t>元麻布ヒルズ フォレストテラスイースト</t>
        </is>
      </c>
      <c r="C173" s="4" t="inlineStr">
        <is>
          <t>食い違い</t>
        </is>
      </c>
      <c r="D173" s="4" t="inlineStr">
        <is>
          <t>バルコニー面積</t>
        </is>
      </c>
      <c r="E173" s="4" t="inlineStr">
        <is>
          <t>記載なし（図面 A-p14・KEN HP）</t>
        </is>
      </c>
      <c r="F173" s="4" t="inlineStr">
        <is>
          <t>同面積の4階住戸で16.37㎡（東急リバブル、検索スニペット）</t>
        </is>
      </c>
      <c r="G173" s="4" t="inlineStr">
        <is>
          <t>3階の値は公式・ポータルとも確認できず</t>
        </is>
      </c>
      <c r="H173" s="4" t="inlineStr">
        <is>
          <t>未確認</t>
        </is>
      </c>
      <c r="I173" s="4" t="inlineStr">
        <is>
          <t>未確認</t>
        </is>
      </c>
    </row>
    <row r="174">
      <c r="A174" s="4" t="inlineStr">
        <is>
          <t>08</t>
        </is>
      </c>
      <c r="B174" s="4" t="inlineStr">
        <is>
          <t>元麻布ヒルズ フォレストテラスイースト</t>
        </is>
      </c>
      <c r="C174" s="4" t="inlineStr">
        <is>
          <t>食い違い</t>
        </is>
      </c>
      <c r="D174" s="4" t="inlineStr">
        <is>
          <t>敷地面積</t>
        </is>
      </c>
      <c r="E174" s="4" t="inlineStr">
        <is>
          <t>実測12,380.37㎡（図面 A-p14）</t>
        </is>
      </c>
      <c r="F174" s="4" t="inlineStr">
        <is>
          <t>12,309㎡（森ビル公式）／12,119.65㎡（No.07図面 A-p13）／12,381.34㎡（KEN建物説明文）</t>
        </is>
      </c>
      <c r="G174" s="4" t="inlineStr">
        <is>
          <t>算定根拠が異なる可能性、確定不可</t>
        </is>
      </c>
      <c r="H174" s="4" t="inlineStr">
        <is>
          <t>図面値12,380.37㎡（実測）を優先し公式値併記</t>
        </is>
      </c>
      <c r="I174" s="4" t="inlineStr">
        <is>
          <t>未確認</t>
        </is>
      </c>
    </row>
    <row r="175">
      <c r="A175" s="4" t="inlineStr">
        <is>
          <t>08</t>
        </is>
      </c>
      <c r="B175" s="4" t="inlineStr">
        <is>
          <t>元麻布ヒルズ フォレストテラスイースト</t>
        </is>
      </c>
      <c r="C175" s="4" t="inlineStr">
        <is>
          <t>食い違い</t>
        </is>
      </c>
      <c r="D175" s="4" t="inlineStr">
        <is>
          <t>階数</t>
        </is>
      </c>
      <c r="E175" s="4" t="inlineStr">
        <is>
          <t>地上5階/地下1階（図面・KEN・SUUMO）</t>
        </is>
      </c>
      <c r="F175" s="4" t="inlineStr">
        <is>
          <t>地上6階・地下1階（森ビル公式・R.E.port・Wikipedia等）</t>
        </is>
      </c>
      <c r="G175" s="4" t="inlineStr">
        <is>
          <t>公式は6階。図面値はウエスト棟の階数と同じ</t>
        </is>
      </c>
      <c r="H175" s="4" t="inlineStr">
        <is>
          <t>公式優先候補：地上6階地下1階（登記で要確認）</t>
        </is>
      </c>
      <c r="I175" s="4" t="inlineStr">
        <is>
          <t>未確認</t>
        </is>
      </c>
    </row>
    <row r="176">
      <c r="A176" s="4" t="inlineStr">
        <is>
          <t>08</t>
        </is>
      </c>
      <c r="B176" s="4" t="inlineStr">
        <is>
          <t>元麻布ヒルズ フォレストテラスイースト</t>
        </is>
      </c>
      <c r="C176" s="4" t="inlineStr">
        <is>
          <t>食い違い</t>
        </is>
      </c>
      <c r="D176" s="4" t="inlineStr">
        <is>
          <t>総戸数</t>
        </is>
      </c>
      <c r="E176" s="4" t="inlineStr">
        <is>
          <t>19戸（図面・KEN・SUUMO）</t>
        </is>
      </c>
      <c r="F176" s="4" t="inlineStr">
        <is>
          <t>23戸（R.E.port竣工記事・Wikipedia・マンションレビュー等）</t>
        </is>
      </c>
      <c r="G176" s="4" t="inlineStr">
        <is>
          <t>森ビル公式に棟別戸数記載なし</t>
        </is>
      </c>
      <c r="H176" s="4" t="inlineStr">
        <is>
          <t>23戸を優先候補（要確認）</t>
        </is>
      </c>
      <c r="I176" s="4" t="inlineStr">
        <is>
          <t>未確認</t>
        </is>
      </c>
    </row>
    <row r="177">
      <c r="A177" s="4" t="inlineStr">
        <is>
          <t>08</t>
        </is>
      </c>
      <c r="B177" s="4" t="inlineStr">
        <is>
          <t>元麻布ヒルズ フォレストテラスイースト</t>
        </is>
      </c>
      <c r="C177" s="4" t="inlineStr">
        <is>
          <t>食い違い</t>
        </is>
      </c>
      <c r="D177" s="4" t="inlineStr">
        <is>
          <t>用途地域</t>
        </is>
      </c>
      <c r="E177" s="4" t="inlineStr">
        <is>
          <t>第二種中高層住居専用地域（図面 A-p14）</t>
        </is>
      </c>
      <c r="F177" s="4" t="inlineStr">
        <is>
          <t>第一種中高層住居専用地域（No.07図面 A-p13）</t>
        </is>
      </c>
      <c r="G177" s="4" t="inlineStr">
        <is>
          <t>港区地図情報で未確認</t>
        </is>
      </c>
      <c r="H177" s="4" t="inlineStr">
        <is>
          <t>図面値</t>
        </is>
      </c>
      <c r="I177" s="4" t="inlineStr">
        <is>
          <t>未確認</t>
        </is>
      </c>
    </row>
    <row r="178">
      <c r="A178" s="4" t="inlineStr">
        <is>
          <t>08</t>
        </is>
      </c>
      <c r="B178" s="4" t="inlineStr">
        <is>
          <t>元麻布ヒルズ フォレストテラスイースト</t>
        </is>
      </c>
      <c r="C178" s="4" t="inlineStr">
        <is>
          <t>食い違い</t>
        </is>
      </c>
      <c r="D178" s="4" t="inlineStr">
        <is>
          <t>免震</t>
        </is>
      </c>
      <c r="E178" s="4" t="inlineStr">
        <is>
          <t>免震構造（KEN住戸設備欄）</t>
        </is>
      </c>
      <c r="F178" s="4" t="inlineStr">
        <is>
          <t>タワー棟のみ免震と読める記述（KEN建物説明文）、森ビル公式記載なし</t>
        </is>
      </c>
      <c r="G178" s="4" t="inlineStr">
        <is>
          <t>本棟は未確認</t>
        </is>
      </c>
      <c r="H178" s="4" t="inlineStr">
        <is>
          <t>掲載で謳わない</t>
        </is>
      </c>
      <c r="I178" s="4" t="inlineStr">
        <is>
          <t>未確認</t>
        </is>
      </c>
    </row>
    <row r="179">
      <c r="A179" s="4" t="inlineStr">
        <is>
          <t>08</t>
        </is>
      </c>
      <c r="B179" s="4" t="inlineStr">
        <is>
          <t>元麻布ヒルズ フォレストテラスイースト</t>
        </is>
      </c>
      <c r="C179" s="4" t="inlineStr">
        <is>
          <t>食い違い</t>
        </is>
      </c>
      <c r="D179" s="4" t="inlineStr">
        <is>
          <t>スカイラウンジ・スパ等の利用条件</t>
        </is>
      </c>
      <c r="E179" s="4" t="inlineStr">
        <is>
          <t>図面：スカイラウンジ（28階）・スカイデッキ・元麻布ヒルズスパ（会員制）</t>
        </is>
      </c>
      <c r="F179" s="4" t="inlineStr">
        <is>
          <t>ヒルズスパ公式：本棟1F所在、一般入会金110万円等／スカイラウンジはタワー28階</t>
        </is>
      </c>
      <c r="G179" s="4" t="inlineStr">
        <is>
          <t>分譲所有者の利用条件は未確認</t>
        </is>
      </c>
      <c r="H179" s="4" t="inlineStr">
        <is>
          <t>施設名と所在のみ記載、入会は別途と表記</t>
        </is>
      </c>
      <c r="I179" s="4" t="inlineStr">
        <is>
          <t>未確認</t>
        </is>
      </c>
    </row>
    <row r="180">
      <c r="A180" s="4" t="inlineStr">
        <is>
          <t>08</t>
        </is>
      </c>
      <c r="B180" s="4" t="inlineStr">
        <is>
          <t>元麻布ヒルズ フォレストテラスイースト</t>
        </is>
      </c>
      <c r="C180" s="4" t="inlineStr">
        <is>
          <t>未確認</t>
        </is>
      </c>
      <c r="D180" s="4" t="inlineStr">
        <is>
          <t>バルコニー面積</t>
        </is>
      </c>
      <c r="E180" s="4" t="n"/>
      <c r="F180" s="4" t="n"/>
      <c r="G180" s="4" t="n"/>
      <c r="H180" s="4" t="n"/>
      <c r="I180" s="4" t="inlineStr">
        <is>
          <t>未確認</t>
        </is>
      </c>
    </row>
    <row r="181">
      <c r="A181" s="4" t="inlineStr">
        <is>
          <t>08</t>
        </is>
      </c>
      <c r="B181" s="4" t="inlineStr">
        <is>
          <t>元麻布ヒルズ フォレストテラスイースト</t>
        </is>
      </c>
      <c r="C181" s="4" t="inlineStr">
        <is>
          <t>未確認</t>
        </is>
      </c>
      <c r="D181" s="4" t="inlineStr">
        <is>
          <t>階数（5階/6階）</t>
        </is>
      </c>
      <c r="E181" s="4" t="n"/>
      <c r="F181" s="4" t="n"/>
      <c r="G181" s="4" t="n"/>
      <c r="H181" s="4" t="n"/>
      <c r="I181" s="4" t="inlineStr">
        <is>
          <t>未確認</t>
        </is>
      </c>
    </row>
    <row r="182">
      <c r="A182" s="4" t="inlineStr">
        <is>
          <t>08</t>
        </is>
      </c>
      <c r="B182" s="4" t="inlineStr">
        <is>
          <t>元麻布ヒルズ フォレストテラスイースト</t>
        </is>
      </c>
      <c r="C182" s="4" t="inlineStr">
        <is>
          <t>未確認</t>
        </is>
      </c>
      <c r="D182" s="4" t="inlineStr">
        <is>
          <t>総戸数（19/23）</t>
        </is>
      </c>
      <c r="E182" s="4" t="n"/>
      <c r="F182" s="4" t="n"/>
      <c r="G182" s="4" t="n"/>
      <c r="H182" s="4" t="n"/>
      <c r="I182" s="4" t="inlineStr">
        <is>
          <t>未確認</t>
        </is>
      </c>
    </row>
    <row r="183">
      <c r="A183" s="4" t="inlineStr">
        <is>
          <t>08</t>
        </is>
      </c>
      <c r="B183" s="4" t="inlineStr">
        <is>
          <t>元麻布ヒルズ フォレストテラスイースト</t>
        </is>
      </c>
      <c r="C183" s="4" t="inlineStr">
        <is>
          <t>未確認</t>
        </is>
      </c>
      <c r="D183" s="4" t="inlineStr">
        <is>
          <t>敷地面積の確定</t>
        </is>
      </c>
      <c r="E183" s="4" t="n"/>
      <c r="F183" s="4" t="n"/>
      <c r="G183" s="4" t="n"/>
      <c r="H183" s="4" t="n"/>
      <c r="I183" s="4" t="inlineStr">
        <is>
          <t>未確認</t>
        </is>
      </c>
    </row>
    <row r="184">
      <c r="A184" s="4" t="inlineStr">
        <is>
          <t>08</t>
        </is>
      </c>
      <c r="B184" s="4" t="inlineStr">
        <is>
          <t>元麻布ヒルズ フォレストテラスイースト</t>
        </is>
      </c>
      <c r="C184" s="4" t="inlineStr">
        <is>
          <t>未確認</t>
        </is>
      </c>
      <c r="D184" s="4" t="inlineStr">
        <is>
          <t>用途地域の確定</t>
        </is>
      </c>
      <c r="E184" s="4" t="n"/>
      <c r="F184" s="4" t="n"/>
      <c r="G184" s="4" t="n"/>
      <c r="H184" s="4" t="n"/>
      <c r="I184" s="4" t="inlineStr">
        <is>
          <t>未確認</t>
        </is>
      </c>
    </row>
    <row r="185">
      <c r="A185" s="4" t="inlineStr">
        <is>
          <t>08</t>
        </is>
      </c>
      <c r="B185" s="4" t="inlineStr">
        <is>
          <t>元麻布ヒルズ フォレストテラスイースト</t>
        </is>
      </c>
      <c r="C185" s="4" t="inlineStr">
        <is>
          <t>未確認</t>
        </is>
      </c>
      <c r="D185" s="4" t="inlineStr">
        <is>
          <t>本棟の免震</t>
        </is>
      </c>
      <c r="E185" s="4" t="n"/>
      <c r="F185" s="4" t="n"/>
      <c r="G185" s="4" t="n"/>
      <c r="H185" s="4" t="n"/>
      <c r="I185" s="4" t="inlineStr">
        <is>
          <t>未確認</t>
        </is>
      </c>
    </row>
    <row r="186">
      <c r="A186" s="4" t="inlineStr">
        <is>
          <t>08</t>
        </is>
      </c>
      <c r="B186" s="4" t="inlineStr">
        <is>
          <t>元麻布ヒルズ フォレストテラスイースト</t>
        </is>
      </c>
      <c r="C186" s="4" t="inlineStr">
        <is>
          <t>未確認</t>
        </is>
      </c>
      <c r="D186" s="4" t="inlineStr">
        <is>
          <t>二重床/二重天井</t>
        </is>
      </c>
      <c r="E186" s="4" t="n"/>
      <c r="F186" s="4" t="n"/>
      <c r="G186" s="4" t="n"/>
      <c r="H186" s="4" t="n"/>
      <c r="I186" s="4" t="inlineStr">
        <is>
          <t>未確認</t>
        </is>
      </c>
    </row>
    <row r="187">
      <c r="A187" s="4" t="inlineStr">
        <is>
          <t>08</t>
        </is>
      </c>
      <c r="B187" s="4" t="inlineStr">
        <is>
          <t>元麻布ヒルズ フォレストテラスイースト</t>
        </is>
      </c>
      <c r="C187" s="4" t="inlineStr">
        <is>
          <t>未確認</t>
        </is>
      </c>
      <c r="D187" s="4" t="inlineStr">
        <is>
          <t>天井高</t>
        </is>
      </c>
      <c r="E187" s="4" t="n"/>
      <c r="F187" s="4" t="n"/>
      <c r="G187" s="4" t="n"/>
      <c r="H187" s="4" t="n"/>
      <c r="I187" s="4" t="inlineStr">
        <is>
          <t>未確認</t>
        </is>
      </c>
    </row>
    <row r="188">
      <c r="A188" s="4" t="inlineStr">
        <is>
          <t>08</t>
        </is>
      </c>
      <c r="B188" s="4" t="inlineStr">
        <is>
          <t>元麻布ヒルズ フォレストテラスイースト</t>
        </is>
      </c>
      <c r="C188" s="4" t="inlineStr">
        <is>
          <t>未確認</t>
        </is>
      </c>
      <c r="D188" s="4" t="inlineStr">
        <is>
          <t>角住戸か</t>
        </is>
      </c>
      <c r="E188" s="4" t="n"/>
      <c r="F188" s="4" t="n"/>
      <c r="G188" s="4" t="n"/>
      <c r="H188" s="4" t="n"/>
      <c r="I188" s="4" t="inlineStr">
        <is>
          <t>未確認</t>
        </is>
      </c>
    </row>
    <row r="189">
      <c r="A189" s="4" t="inlineStr">
        <is>
          <t>08</t>
        </is>
      </c>
      <c r="B189" s="4" t="inlineStr">
        <is>
          <t>元麻布ヒルズ フォレストテラスイースト</t>
        </is>
      </c>
      <c r="C189" s="4" t="inlineStr">
        <is>
          <t>未確認</t>
        </is>
      </c>
      <c r="D189" s="4" t="inlineStr">
        <is>
          <t>リフォーム履歴</t>
        </is>
      </c>
      <c r="E189" s="4" t="n"/>
      <c r="F189" s="4" t="n"/>
      <c r="G189" s="4" t="n"/>
      <c r="H189" s="4" t="n"/>
      <c r="I189" s="4" t="inlineStr">
        <is>
          <t>未確認</t>
        </is>
      </c>
    </row>
    <row r="190">
      <c r="A190" s="4" t="inlineStr">
        <is>
          <t>08</t>
        </is>
      </c>
      <c r="B190" s="4" t="inlineStr">
        <is>
          <t>元麻布ヒルズ フォレストテラスイースト</t>
        </is>
      </c>
      <c r="C190" s="4" t="inlineStr">
        <is>
          <t>未確認</t>
        </is>
      </c>
      <c r="D190" s="4" t="inlineStr">
        <is>
          <t>設備メーカー</t>
        </is>
      </c>
      <c r="E190" s="4" t="n"/>
      <c r="F190" s="4" t="n"/>
      <c r="G190" s="4" t="n"/>
      <c r="H190" s="4" t="n"/>
      <c r="I190" s="4" t="inlineStr">
        <is>
          <t>未確認</t>
        </is>
      </c>
    </row>
    <row r="191">
      <c r="A191" s="4" t="inlineStr">
        <is>
          <t>08</t>
        </is>
      </c>
      <c r="B191" s="4" t="inlineStr">
        <is>
          <t>元麻布ヒルズ フォレストテラスイースト</t>
        </is>
      </c>
      <c r="C191" s="4" t="inlineStr">
        <is>
          <t>未確認</t>
        </is>
      </c>
      <c r="D191" s="4" t="inlineStr">
        <is>
          <t>セキュリティ段数</t>
        </is>
      </c>
      <c r="E191" s="4" t="n"/>
      <c r="F191" s="4" t="n"/>
      <c r="G191" s="4" t="n"/>
      <c r="H191" s="4" t="n"/>
      <c r="I191" s="4" t="inlineStr">
        <is>
          <t>未確認</t>
        </is>
      </c>
    </row>
    <row r="192">
      <c r="A192" s="4" t="inlineStr">
        <is>
          <t>08</t>
        </is>
      </c>
      <c r="B192" s="4" t="inlineStr">
        <is>
          <t>元麻布ヒルズ フォレストテラスイースト</t>
        </is>
      </c>
      <c r="C192" s="4" t="inlineStr">
        <is>
          <t>未確認</t>
        </is>
      </c>
      <c r="D192" s="4" t="inlineStr">
        <is>
          <t>中学校学区</t>
        </is>
      </c>
      <c r="E192" s="4" t="n"/>
      <c r="F192" s="4" t="n"/>
      <c r="G192" s="4" t="n"/>
      <c r="H192" s="4" t="n"/>
      <c r="I192" s="4" t="inlineStr">
        <is>
          <t>未確認</t>
        </is>
      </c>
    </row>
    <row r="193">
      <c r="A193" s="4" t="inlineStr">
        <is>
          <t>08</t>
        </is>
      </c>
      <c r="B193" s="4" t="inlineStr">
        <is>
          <t>元麻布ヒルズ フォレストテラスイースト</t>
        </is>
      </c>
      <c r="C193" s="4" t="inlineStr">
        <is>
          <t>未確認</t>
        </is>
      </c>
      <c r="D193" s="4" t="inlineStr">
        <is>
          <t>病院</t>
        </is>
      </c>
      <c r="E193" s="4" t="n"/>
      <c r="F193" s="4" t="n"/>
      <c r="G193" s="4" t="n"/>
      <c r="H193" s="4" t="n"/>
      <c r="I193" s="4" t="inlineStr">
        <is>
          <t>未確認</t>
        </is>
      </c>
    </row>
    <row r="194">
      <c r="A194" s="4" t="inlineStr">
        <is>
          <t>08</t>
        </is>
      </c>
      <c r="B194" s="4" t="inlineStr">
        <is>
          <t>元麻布ヒルズ フォレストテラスイースト</t>
        </is>
      </c>
      <c r="C194" s="4" t="inlineStr">
        <is>
          <t>未確認</t>
        </is>
      </c>
      <c r="D194" s="4" t="inlineStr">
        <is>
          <t>港区公式ハザード（内水・高潮・土砂）</t>
        </is>
      </c>
      <c r="E194" s="4" t="n"/>
      <c r="F194" s="4" t="n"/>
      <c r="G194" s="4" t="n"/>
      <c r="H194" s="4" t="n"/>
      <c r="I194" s="4" t="inlineStr">
        <is>
          <t>未確認</t>
        </is>
      </c>
    </row>
    <row r="195">
      <c r="A195" s="4" t="inlineStr">
        <is>
          <t>08</t>
        </is>
      </c>
      <c r="B195" s="4" t="inlineStr">
        <is>
          <t>元麻布ヒルズ フォレストテラスイースト</t>
        </is>
      </c>
      <c r="C195" s="4" t="inlineStr">
        <is>
          <t>未確認</t>
        </is>
      </c>
      <c r="D195" s="4" t="inlineStr">
        <is>
          <t>スカイラウンジ・スカイデッキ・ドアマン等の本棟居住者利用条件</t>
        </is>
      </c>
      <c r="E195" s="4" t="n"/>
      <c r="F195" s="4" t="n"/>
      <c r="G195" s="4" t="n"/>
      <c r="H195" s="4" t="n"/>
      <c r="I195" s="4" t="inlineStr">
        <is>
          <t>未確認</t>
        </is>
      </c>
    </row>
    <row r="196">
      <c r="A196" s="4" t="inlineStr">
        <is>
          <t>08</t>
        </is>
      </c>
      <c r="B196" s="4" t="inlineStr">
        <is>
          <t>元麻布ヒルズ フォレストテラスイースト</t>
        </is>
      </c>
      <c r="C196" s="4" t="inlineStr">
        <is>
          <t>未確認</t>
        </is>
      </c>
      <c r="D196" s="4" t="inlineStr">
        <is>
          <t>スパの居住者特典</t>
        </is>
      </c>
      <c r="E196" s="4" t="n"/>
      <c r="F196" s="4" t="n"/>
      <c r="G196" s="4" t="n"/>
      <c r="H196" s="4" t="n"/>
      <c r="I196" s="4" t="inlineStr">
        <is>
          <t>未確認</t>
        </is>
      </c>
    </row>
    <row r="197">
      <c r="A197" s="4" t="inlineStr">
        <is>
          <t>08</t>
        </is>
      </c>
      <c r="B197" s="4" t="inlineStr">
        <is>
          <t>元麻布ヒルズ フォレストテラスイースト</t>
        </is>
      </c>
      <c r="C197" s="4" t="inlineStr">
        <is>
          <t>未確認</t>
        </is>
      </c>
      <c r="D197" s="4" t="inlineStr">
        <is>
          <t>大規模修繕の進捗</t>
        </is>
      </c>
      <c r="E197" s="4" t="n"/>
      <c r="F197" s="4" t="n"/>
      <c r="G197" s="4" t="n"/>
      <c r="H197" s="4" t="n"/>
      <c r="I197" s="4" t="inlineStr">
        <is>
          <t>未確認</t>
        </is>
      </c>
    </row>
    <row r="198">
      <c r="A198" s="4" t="inlineStr">
        <is>
          <t>09</t>
        </is>
      </c>
      <c r="B198" s="4" t="inlineStr">
        <is>
          <t>パークコート虎ノ門愛宕タワー</t>
        </is>
      </c>
      <c r="C198" s="4" t="inlineStr">
        <is>
          <t>食い違い</t>
        </is>
      </c>
      <c r="D198" s="4" t="inlineStr">
        <is>
          <t>竣工年月</t>
        </is>
      </c>
      <c r="E198" s="4" t="inlineStr">
        <is>
          <t>2008年4月（図面A-p15・ケン・SUUMO・リハウス）</t>
        </is>
      </c>
      <c r="F198" s="4" t="inlineStr">
        <is>
          <t>2008年6月（ノムコム・東急リバブル・住友ステップ）</t>
        </is>
      </c>
      <c r="G198" s="4" t="inlineStr">
        <is>
          <t>分譲公式に記載なし</t>
        </is>
      </c>
      <c r="H198" s="4" t="inlineStr">
        <is>
          <t>2008年4月（6月表記ありと併記）</t>
        </is>
      </c>
      <c r="I198" s="4" t="inlineStr">
        <is>
          <t>未確認</t>
        </is>
      </c>
    </row>
    <row r="199">
      <c r="A199" s="4" t="inlineStr">
        <is>
          <t>09</t>
        </is>
      </c>
      <c r="B199" s="4" t="inlineStr">
        <is>
          <t>パークコート虎ノ門愛宕タワー</t>
        </is>
      </c>
      <c r="C199" s="4" t="inlineStr">
        <is>
          <t>食い違い</t>
        </is>
      </c>
      <c r="D199" s="4" t="inlineStr">
        <is>
          <t>虎ノ門ヒルズ駅 徒歩分</t>
        </is>
      </c>
      <c r="E199" s="4" t="inlineStr">
        <is>
          <t>6分（図面・長谷工）</t>
        </is>
      </c>
      <c r="F199" s="4" t="inlineStr">
        <is>
          <t>4分（リハウス・ケン）</t>
        </is>
      </c>
      <c r="G199" s="4" t="inlineStr">
        <is>
          <t>公式記載なし</t>
        </is>
      </c>
      <c r="H199" s="4" t="inlineStr">
        <is>
          <t>6分（図面）</t>
        </is>
      </c>
      <c r="I199" s="4" t="inlineStr">
        <is>
          <t>未確認</t>
        </is>
      </c>
    </row>
    <row r="200">
      <c r="A200" s="4" t="inlineStr">
        <is>
          <t>09</t>
        </is>
      </c>
      <c r="B200" s="4" t="inlineStr">
        <is>
          <t>パークコート虎ノ門愛宕タワー</t>
        </is>
      </c>
      <c r="C200" s="4" t="inlineStr">
        <is>
          <t>食い違い</t>
        </is>
      </c>
      <c r="D200" s="4" t="inlineStr">
        <is>
          <t>御成門駅 徒歩分</t>
        </is>
      </c>
      <c r="E200" s="4" t="inlineStr">
        <is>
          <t>9分（図面・ケン）</t>
        </is>
      </c>
      <c r="F200" s="4" t="inlineStr">
        <is>
          <t>8分（リハウス・住友ステップ）</t>
        </is>
      </c>
      <c r="G200" s="4" t="inlineStr">
        <is>
          <t>公式記載なし</t>
        </is>
      </c>
      <c r="H200" s="4" t="inlineStr">
        <is>
          <t>9分（図面）</t>
        </is>
      </c>
      <c r="I200" s="4" t="inlineStr">
        <is>
          <t>未確認</t>
        </is>
      </c>
    </row>
    <row r="201">
      <c r="A201" s="4" t="inlineStr">
        <is>
          <t>09</t>
        </is>
      </c>
      <c r="B201" s="4" t="inlineStr">
        <is>
          <t>パークコート虎ノ門愛宕タワー</t>
        </is>
      </c>
      <c r="C201" s="4" t="inlineStr">
        <is>
          <t>食い違い</t>
        </is>
      </c>
      <c r="D201" s="4" t="inlineStr">
        <is>
          <t>管理形態</t>
        </is>
      </c>
      <c r="E201" s="4" t="inlineStr">
        <is>
          <t>管理員日勤（図面・SUUMO）</t>
        </is>
      </c>
      <c r="F201" s="4" t="inlineStr">
        <is>
          <t>24時間有人管理（ケン・東急リバブル：夜間セキュリティ待機）</t>
        </is>
      </c>
      <c r="G201" s="4" t="inlineStr">
        <is>
          <t>両立の可能性</t>
        </is>
      </c>
      <c r="H201" s="4" t="inlineStr">
        <is>
          <t>日勤＋24時間有人管理（ポータル記載）</t>
        </is>
      </c>
      <c r="I201" s="4" t="inlineStr">
        <is>
          <t>未確認</t>
        </is>
      </c>
    </row>
    <row r="202">
      <c r="A202" s="4" t="inlineStr">
        <is>
          <t>09</t>
        </is>
      </c>
      <c r="B202" s="4" t="inlineStr">
        <is>
          <t>パークコート虎ノ門愛宕タワー</t>
        </is>
      </c>
      <c r="C202" s="4" t="inlineStr">
        <is>
          <t>食い違い</t>
        </is>
      </c>
      <c r="D202" s="4" t="inlineStr">
        <is>
          <t>構造</t>
        </is>
      </c>
      <c r="E202" s="4" t="inlineStr">
        <is>
          <t>制震（シミズハイブリッドコアウォール、東急リバブル・ケン・プラザ）</t>
        </is>
      </c>
      <c r="F202" s="4" t="inlineStr">
        <is>
          <t>免震/制震の包括表記（ノムコム等）</t>
        </is>
      </c>
      <c r="G202" s="4" t="inlineStr">
        <is>
          <t>公式記載なし</t>
        </is>
      </c>
      <c r="H202" s="4" t="inlineStr">
        <is>
          <t>制震構造</t>
        </is>
      </c>
      <c r="I202" s="4" t="inlineStr">
        <is>
          <t>解消</t>
        </is>
      </c>
    </row>
    <row r="203">
      <c r="A203" s="4" t="inlineStr">
        <is>
          <t>09</t>
        </is>
      </c>
      <c r="B203" s="4" t="inlineStr">
        <is>
          <t>パークコート虎ノ門愛宕タワー</t>
        </is>
      </c>
      <c r="C203" s="4" t="inlineStr">
        <is>
          <t>食い違い</t>
        </is>
      </c>
      <c r="D203" s="4" t="inlineStr">
        <is>
          <t>敷地面積</t>
        </is>
      </c>
      <c r="E203" s="4" t="inlineStr">
        <is>
          <t>3,165.57㎡（図面）</t>
        </is>
      </c>
      <c r="F203" s="4" t="inlineStr">
        <is>
          <t>3,165.49㎡（住友ステップ・ttm）</t>
        </is>
      </c>
      <c r="G203" s="4" t="inlineStr">
        <is>
          <t>未確認</t>
        </is>
      </c>
      <c r="H203" s="4" t="inlineStr">
        <is>
          <t>図面値</t>
        </is>
      </c>
      <c r="I203" s="4" t="inlineStr">
        <is>
          <t>未確認</t>
        </is>
      </c>
    </row>
    <row r="204">
      <c r="A204" s="4" t="inlineStr">
        <is>
          <t>09</t>
        </is>
      </c>
      <c r="B204" s="4" t="inlineStr">
        <is>
          <t>パークコート虎ノ門愛宕タワー</t>
        </is>
      </c>
      <c r="C204" s="4" t="inlineStr">
        <is>
          <t>食い違い</t>
        </is>
      </c>
      <c r="D204" s="4" t="inlineStr">
        <is>
          <t>浴室Bath(2023)表記</t>
        </is>
      </c>
      <c r="E204" s="4" t="inlineStr">
        <is>
          <t>Bath(2023)（図面30階）</t>
        </is>
      </c>
      <c r="F204" s="4" t="inlineStr">
        <is>
          <t>同図面Bath(1620)＝UBサイズ表記と同形式</t>
        </is>
      </c>
      <c r="G204" s="4" t="inlineStr">
        <is>
          <t>リフォーム時期の根拠なし</t>
        </is>
      </c>
      <c r="H204" s="4" t="inlineStr">
        <is>
          <t>リフォーム時期として扱わない</t>
        </is>
      </c>
      <c r="I204" s="4" t="inlineStr">
        <is>
          <t>未確認</t>
        </is>
      </c>
    </row>
    <row r="205">
      <c r="A205" s="4" t="inlineStr">
        <is>
          <t>09</t>
        </is>
      </c>
      <c r="B205" s="4" t="inlineStr">
        <is>
          <t>パークコート虎ノ門愛宕タワー</t>
        </is>
      </c>
      <c r="C205" s="4" t="inlineStr">
        <is>
          <t>食い違い</t>
        </is>
      </c>
      <c r="D205" s="4" t="inlineStr">
        <is>
          <t>別の29-30階ペントハウスとの混同</t>
        </is>
      </c>
      <c r="E205" s="4" t="inlineStr">
        <is>
          <t>183.36㎡・RB25.72㎡（図面）</t>
        </is>
      </c>
      <c r="F205" s="4" t="inlineStr">
        <is>
          <t>168.23㎡・RB31.56㎡・2024年5月リフォーム（リハウスFW97WA11／住友ステップ 掲載終了）</t>
        </is>
      </c>
      <c r="G205" s="4" t="inlineStr">
        <is>
          <t>面積相違で別住戸</t>
        </is>
      </c>
      <c r="H205" s="4" t="inlineStr">
        <is>
          <t>当該住戸に2024年リフォーム情報を流用しない</t>
        </is>
      </c>
      <c r="I205" s="4" t="inlineStr">
        <is>
          <t>解消</t>
        </is>
      </c>
    </row>
    <row r="206">
      <c r="A206" s="4" t="inlineStr">
        <is>
          <t>09</t>
        </is>
      </c>
      <c r="B206" s="4" t="inlineStr">
        <is>
          <t>パークコート虎ノ門愛宕タワー</t>
        </is>
      </c>
      <c r="C206" s="4" t="inlineStr">
        <is>
          <t>食い違い</t>
        </is>
      </c>
      <c r="D206" s="4" t="inlineStr">
        <is>
          <t>クラブスイート所在階</t>
        </is>
      </c>
      <c r="E206" s="4" t="inlineStr">
        <is>
          <t>2F（ケン）</t>
        </is>
      </c>
      <c r="F206" s="4" t="inlineStr">
        <is>
          <t>28階（rf12）</t>
        </is>
      </c>
      <c r="G206" s="4" t="inlineStr">
        <is>
          <t>公式に階記載なし</t>
        </is>
      </c>
      <c r="H206" s="4" t="inlineStr">
        <is>
          <t>記載しない</t>
        </is>
      </c>
      <c r="I206" s="4" t="inlineStr">
        <is>
          <t>未確認</t>
        </is>
      </c>
    </row>
    <row r="207">
      <c r="A207" s="4" t="inlineStr">
        <is>
          <t>09</t>
        </is>
      </c>
      <c r="B207" s="4" t="inlineStr">
        <is>
          <t>パークコート虎ノ門愛宕タワー</t>
        </is>
      </c>
      <c r="C207" s="4" t="inlineStr">
        <is>
          <t>未確認</t>
        </is>
      </c>
      <c r="D207" s="4" t="inlineStr">
        <is>
          <t>ルーフバルコニー使用料</t>
        </is>
      </c>
      <c r="E207" s="4" t="n"/>
      <c r="F207" s="4" t="n"/>
      <c r="G207" s="4" t="n"/>
      <c r="H207" s="4" t="n"/>
      <c r="I207" s="4" t="inlineStr">
        <is>
          <t>未確認</t>
        </is>
      </c>
    </row>
    <row r="208">
      <c r="A208" s="4" t="inlineStr">
        <is>
          <t>09</t>
        </is>
      </c>
      <c r="B208" s="4" t="inlineStr">
        <is>
          <t>パークコート虎ノ門愛宕タワー</t>
        </is>
      </c>
      <c r="C208" s="4" t="inlineStr">
        <is>
          <t>未確認</t>
        </is>
      </c>
      <c r="D208" s="4" t="inlineStr">
        <is>
          <t>大規模修繕の実施時期・予定</t>
        </is>
      </c>
      <c r="E208" s="4" t="n"/>
      <c r="F208" s="4" t="n"/>
      <c r="G208" s="4" t="n"/>
      <c r="H208" s="4" t="n"/>
      <c r="I208" s="4" t="inlineStr">
        <is>
          <t>未確認</t>
        </is>
      </c>
    </row>
    <row r="209">
      <c r="A209" s="4" t="inlineStr">
        <is>
          <t>09</t>
        </is>
      </c>
      <c r="B209" s="4" t="inlineStr">
        <is>
          <t>パークコート虎ノ門愛宕タワー</t>
        </is>
      </c>
      <c r="C209" s="4" t="inlineStr">
        <is>
          <t>未確認</t>
        </is>
      </c>
      <c r="D209" s="4" t="inlineStr">
        <is>
          <t>ハザード（洪水・高潮・土砂・液状化）</t>
        </is>
      </c>
      <c r="E209" s="4" t="n"/>
      <c r="F209" s="4" t="n"/>
      <c r="G209" s="4" t="n"/>
      <c r="H209" s="4" t="n"/>
      <c r="I209" s="4" t="inlineStr">
        <is>
          <t>未確認</t>
        </is>
      </c>
    </row>
    <row r="210">
      <c r="A210" s="4" t="inlineStr">
        <is>
          <t>09</t>
        </is>
      </c>
      <c r="B210" s="4" t="inlineStr">
        <is>
          <t>パークコート虎ノ門愛宕タワー</t>
        </is>
      </c>
      <c r="C210" s="4" t="inlineStr">
        <is>
          <t>未確認</t>
        </is>
      </c>
      <c r="D210" s="4" t="inlineStr">
        <is>
          <t>風致地区の区域該当性（港区公式）</t>
        </is>
      </c>
      <c r="E210" s="4" t="n"/>
      <c r="F210" s="4" t="n"/>
      <c r="G210" s="4" t="n"/>
      <c r="H210" s="4" t="n"/>
      <c r="I210" s="4" t="inlineStr">
        <is>
          <t>未確認</t>
        </is>
      </c>
    </row>
    <row r="211">
      <c r="A211" s="4" t="inlineStr">
        <is>
          <t>09</t>
        </is>
      </c>
      <c r="B211" s="4" t="inlineStr">
        <is>
          <t>パークコート虎ノ門愛宕タワー</t>
        </is>
      </c>
      <c r="C211" s="4" t="inlineStr">
        <is>
          <t>未確認</t>
        </is>
      </c>
      <c r="D211" s="4" t="inlineStr">
        <is>
          <t>リフォーム履歴（Bath(2023)表記はサイズ表記の可能性、時期根拠なし）</t>
        </is>
      </c>
      <c r="E211" s="4" t="n"/>
      <c r="F211" s="4" t="n"/>
      <c r="G211" s="4" t="n"/>
      <c r="H211" s="4" t="n"/>
      <c r="I211" s="4" t="inlineStr">
        <is>
          <t>未確認</t>
        </is>
      </c>
    </row>
    <row r="212">
      <c r="A212" s="4" t="inlineStr">
        <is>
          <t>09</t>
        </is>
      </c>
      <c r="B212" s="4" t="inlineStr">
        <is>
          <t>パークコート虎ノ門愛宕タワー</t>
        </is>
      </c>
      <c r="C212" s="4" t="inlineStr">
        <is>
          <t>未確認</t>
        </is>
      </c>
      <c r="D212" s="4" t="inlineStr">
        <is>
          <t>室内設備のメーカー名・現況（床暖房・食洗機・ディスポーザー・浴室乾燥機）</t>
        </is>
      </c>
      <c r="E212" s="4" t="n"/>
      <c r="F212" s="4" t="n"/>
      <c r="G212" s="4" t="n"/>
      <c r="H212" s="4" t="n"/>
      <c r="I212" s="4" t="inlineStr">
        <is>
          <t>未確認</t>
        </is>
      </c>
    </row>
    <row r="213">
      <c r="A213" s="4" t="inlineStr">
        <is>
          <t>09</t>
        </is>
      </c>
      <c r="B213" s="4" t="inlineStr">
        <is>
          <t>パークコート虎ノ門愛宕タワー</t>
        </is>
      </c>
      <c r="C213" s="4" t="inlineStr">
        <is>
          <t>未確認</t>
        </is>
      </c>
      <c r="D213" s="4" t="inlineStr">
        <is>
          <t>家具の扱い</t>
        </is>
      </c>
      <c r="E213" s="4" t="n"/>
      <c r="F213" s="4" t="n"/>
      <c r="G213" s="4" t="n"/>
      <c r="H213" s="4" t="n"/>
      <c r="I213" s="4" t="inlineStr">
        <is>
          <t>未確認</t>
        </is>
      </c>
    </row>
    <row r="214">
      <c r="A214" s="4" t="inlineStr">
        <is>
          <t>09</t>
        </is>
      </c>
      <c r="B214" s="4" t="inlineStr">
        <is>
          <t>パークコート虎ノ門愛宕タワー</t>
        </is>
      </c>
      <c r="C214" s="4" t="inlineStr">
        <is>
          <t>未確認</t>
        </is>
      </c>
      <c r="D214" s="4" t="inlineStr">
        <is>
          <t>クラブスイート・エグゼクティブスタディの所在階</t>
        </is>
      </c>
      <c r="E214" s="4" t="n"/>
      <c r="F214" s="4" t="n"/>
      <c r="G214" s="4" t="n"/>
      <c r="H214" s="4" t="n"/>
      <c r="I214" s="4" t="inlineStr">
        <is>
          <t>未確認</t>
        </is>
      </c>
    </row>
    <row r="215">
      <c r="A215" s="4" t="inlineStr">
        <is>
          <t>09</t>
        </is>
      </c>
      <c r="B215" s="4" t="inlineStr">
        <is>
          <t>パークコート虎ノ門愛宕タワー</t>
        </is>
      </c>
      <c r="C215" s="4" t="inlineStr">
        <is>
          <t>未確認</t>
        </is>
      </c>
      <c r="D215" s="4" t="inlineStr">
        <is>
          <t>フィットネスルーム・パーティールームの有無</t>
        </is>
      </c>
      <c r="E215" s="4" t="n"/>
      <c r="F215" s="4" t="n"/>
      <c r="G215" s="4" t="n"/>
      <c r="H215" s="4" t="n"/>
      <c r="I215" s="4" t="inlineStr">
        <is>
          <t>未確認</t>
        </is>
      </c>
    </row>
    <row r="216">
      <c r="A216" s="4" t="inlineStr">
        <is>
          <t>09</t>
        </is>
      </c>
      <c r="B216" s="4" t="inlineStr">
        <is>
          <t>パークコート虎ノ門愛宕タワー</t>
        </is>
      </c>
      <c r="C216" s="4" t="inlineStr">
        <is>
          <t>未確認</t>
        </is>
      </c>
      <c r="D216" s="4" t="inlineStr">
        <is>
          <t>駐輪場台数・バイク置場料金</t>
        </is>
      </c>
      <c r="E216" s="4" t="n"/>
      <c r="F216" s="4" t="n"/>
      <c r="G216" s="4" t="n"/>
      <c r="H216" s="4" t="n"/>
      <c r="I216" s="4" t="inlineStr">
        <is>
          <t>未確認</t>
        </is>
      </c>
    </row>
    <row r="217">
      <c r="A217" s="4" t="inlineStr">
        <is>
          <t>09</t>
        </is>
      </c>
      <c r="B217" s="4" t="inlineStr">
        <is>
          <t>パークコート虎ノ門愛宕タワー</t>
        </is>
      </c>
      <c r="C217" s="4" t="inlineStr">
        <is>
          <t>未確認</t>
        </is>
      </c>
      <c r="D217" s="4" t="inlineStr">
        <is>
          <t>竣工月（2008年4月か6月か）</t>
        </is>
      </c>
      <c r="E217" s="4" t="n"/>
      <c r="F217" s="4" t="n"/>
      <c r="G217" s="4" t="n"/>
      <c r="H217" s="4" t="n"/>
      <c r="I217" s="4" t="inlineStr">
        <is>
          <t>未確認</t>
        </is>
      </c>
    </row>
    <row r="218">
      <c r="A218" s="4" t="inlineStr">
        <is>
          <t>10</t>
        </is>
      </c>
      <c r="B218" s="4" t="inlineStr">
        <is>
          <t>東京ツインパークス</t>
        </is>
      </c>
      <c r="C218" s="4" t="inlineStr">
        <is>
          <t>食い違い</t>
        </is>
      </c>
      <c r="D218" s="4" t="inlineStr">
        <is>
          <t>総戸数</t>
        </is>
      </c>
      <c r="E218" s="4" t="inlineStr">
        <is>
          <t>全体1,000戸（Wikipedia・SUUMOジャーナル）／レフト577戸（Wikipedia・マンションレビュー・KEN）</t>
        </is>
      </c>
      <c r="F218" s="4" t="inlineStr">
        <is>
          <t>レフト576戸（SUUMO・ノムコム）</t>
        </is>
      </c>
      <c r="G218" s="4" t="inlineStr">
        <is>
          <t>L577＋R423＝1,000でWikipediaと整合</t>
        </is>
      </c>
      <c r="H218" s="4" t="inlineStr">
        <is>
          <t>総戸数1,000戸（2棟合計）、レフト577戸候補・576戸表記併記</t>
        </is>
      </c>
      <c r="I218" s="4" t="inlineStr">
        <is>
          <t>解消</t>
        </is>
      </c>
    </row>
    <row r="219">
      <c r="A219" s="4" t="inlineStr">
        <is>
          <t>10</t>
        </is>
      </c>
      <c r="B219" s="4" t="inlineStr">
        <is>
          <t>東京ツインパークス</t>
        </is>
      </c>
      <c r="C219" s="4" t="inlineStr">
        <is>
          <t>食い違い</t>
        </is>
      </c>
      <c r="D219" s="4" t="inlineStr">
        <is>
          <t>分譲会社</t>
        </is>
      </c>
      <c r="E219" s="4" t="inlineStr">
        <is>
          <t>三菱地所・三井不動産・住友不動産・東京建物・オリックス・住友商事・三井物産・平和不動産の8社（ノムコム・Wikipedia）</t>
        </is>
      </c>
      <c r="F219" s="4" t="inlineStr">
        <is>
          <t>三菱商事・三井不動産・住友不動産他（プリンセススクゥエアー）</t>
        </is>
      </c>
      <c r="G219" s="4" t="inlineStr">
        <is>
          <t>複数ソースが三菱地所を含む8社JV。各社公式は未確認</t>
        </is>
      </c>
      <c r="H219" s="4" t="inlineStr">
        <is>
          <t>8社JV（三菱地所ほか）</t>
        </is>
      </c>
      <c r="I219" s="4" t="inlineStr">
        <is>
          <t>解消</t>
        </is>
      </c>
    </row>
    <row r="220">
      <c r="A220" s="4" t="inlineStr">
        <is>
          <t>10</t>
        </is>
      </c>
      <c r="B220" s="4" t="inlineStr">
        <is>
          <t>東京ツインパークス</t>
        </is>
      </c>
      <c r="C220" s="4" t="inlineStr">
        <is>
          <t>食い違い</t>
        </is>
      </c>
      <c r="D220" s="4" t="inlineStr">
        <is>
          <t>施工会社</t>
        </is>
      </c>
      <c r="E220" s="4" t="inlineStr">
        <is>
          <t>大成建設（ノムコム・SUUMO・Wikipedia・KEN）</t>
        </is>
      </c>
      <c r="F220" s="4" t="inlineStr">
        <is>
          <t>―</t>
        </is>
      </c>
      <c r="G220" s="4" t="inlineStr">
        <is>
          <t>一致</t>
        </is>
      </c>
      <c r="H220" s="4" t="inlineStr">
        <is>
          <t>大成建設</t>
        </is>
      </c>
      <c r="I220" s="4" t="inlineStr">
        <is>
          <t>解消</t>
        </is>
      </c>
    </row>
    <row r="221">
      <c r="A221" s="4" t="inlineStr">
        <is>
          <t>10</t>
        </is>
      </c>
      <c r="B221" s="4" t="inlineStr">
        <is>
          <t>東京ツインパークス</t>
        </is>
      </c>
      <c r="C221" s="4" t="inlineStr">
        <is>
          <t>食い違い</t>
        </is>
      </c>
      <c r="D221" s="4" t="inlineStr">
        <is>
          <t>交通徒歩分数</t>
        </is>
      </c>
      <c r="E221" s="4" t="inlineStr">
        <is>
          <t>汐留2分・浜松町6分・新橋8分（図面A-p16）</t>
        </is>
      </c>
      <c r="F221" s="4" t="inlineStr">
        <is>
          <t>汐留3分・浜松町8分・新橋10分（SUUMO・ノムコム）</t>
        </is>
      </c>
      <c r="G221" s="4" t="inlineStr">
        <is>
          <t>起点の違いと思われる</t>
        </is>
      </c>
      <c r="H221" s="4" t="inlineStr">
        <is>
          <t>図面値を優先・差を注記</t>
        </is>
      </c>
      <c r="I221" s="4" t="inlineStr">
        <is>
          <t>解消</t>
        </is>
      </c>
    </row>
    <row r="222">
      <c r="A222" s="4" t="inlineStr">
        <is>
          <t>10</t>
        </is>
      </c>
      <c r="B222" s="4" t="inlineStr">
        <is>
          <t>東京ツインパークス</t>
        </is>
      </c>
      <c r="C222" s="4" t="inlineStr">
        <is>
          <t>食い違い</t>
        </is>
      </c>
      <c r="D222" s="4" t="inlineStr">
        <is>
          <t>管理員の勤務形態</t>
        </is>
      </c>
      <c r="E222" s="4" t="inlineStr">
        <is>
          <t>24時間有人管理（図面・ノムコム：夜間管理員常駐）</t>
        </is>
      </c>
      <c r="F222" s="4" t="inlineStr">
        <is>
          <t>管理員 日勤（ノムコム）／委託(通勤)（SUUMO）</t>
        </is>
      </c>
      <c r="G222" s="4" t="inlineStr">
        <is>
          <t>日勤管理員＋夜間常駐の体制と読める</t>
        </is>
      </c>
      <c r="H222" s="4" t="inlineStr">
        <is>
          <t>24時間有人管理</t>
        </is>
      </c>
      <c r="I222" s="4" t="inlineStr">
        <is>
          <t>解消</t>
        </is>
      </c>
    </row>
    <row r="223">
      <c r="A223" s="4" t="inlineStr">
        <is>
          <t>10</t>
        </is>
      </c>
      <c r="B223" s="4" t="inlineStr">
        <is>
          <t>東京ツインパークス</t>
        </is>
      </c>
      <c r="C223" s="4" t="inlineStr">
        <is>
          <t>食い違い</t>
        </is>
      </c>
      <c r="D223" s="4" t="inlineStr">
        <is>
          <t>ザ・スカイハウスの内容</t>
        </is>
      </c>
      <c r="E223" s="4" t="inlineStr">
        <is>
          <t>使用料7,000円・45〜47階専用使用権（図面・SUUMO・ノムコム）</t>
        </is>
      </c>
      <c r="F223" s="4" t="inlineStr">
        <is>
          <t>施設内容の記載なし</t>
        </is>
      </c>
      <c r="G223" s="4" t="inlineStr">
        <is>
          <t>ネット上で未発見</t>
        </is>
      </c>
      <c r="H223" s="4" t="inlineStr">
        <is>
          <t>使用料のみ記載</t>
        </is>
      </c>
      <c r="I223" s="4" t="inlineStr">
        <is>
          <t>未確認</t>
        </is>
      </c>
    </row>
    <row r="224">
      <c r="A224" s="4" t="inlineStr">
        <is>
          <t>10</t>
        </is>
      </c>
      <c r="B224" s="4" t="inlineStr">
        <is>
          <t>東京ツインパークス</t>
        </is>
      </c>
      <c r="C224" s="4" t="inlineStr">
        <is>
          <t>食い違い</t>
        </is>
      </c>
      <c r="D224" s="4" t="inlineStr">
        <is>
          <t>高潮浸水深</t>
        </is>
      </c>
      <c r="E224" s="4" t="inlineStr">
        <is>
          <t>国土地理院タイル：代表点付近は着色なし／浅い区分混在</t>
        </is>
      </c>
      <c r="F224" s="4" t="inlineStr">
        <is>
          <t>周辺に0.5〜3m・3〜5m区分あり</t>
        </is>
      </c>
      <c r="G224" s="4" t="inlineStr">
        <is>
          <t>港区ハザードマップで要確認</t>
        </is>
      </c>
      <c r="H224" s="4" t="inlineStr">
        <is>
          <t>要確認</t>
        </is>
      </c>
      <c r="I224" s="4" t="inlineStr">
        <is>
          <t>未確認</t>
        </is>
      </c>
    </row>
    <row r="225">
      <c r="A225" s="4" t="inlineStr">
        <is>
          <t>10</t>
        </is>
      </c>
      <c r="B225" s="4" t="inlineStr">
        <is>
          <t>東京ツインパークス</t>
        </is>
      </c>
      <c r="C225" s="4" t="inlineStr">
        <is>
          <t>食い違い</t>
        </is>
      </c>
      <c r="D225" s="4" t="inlineStr">
        <is>
          <t>写真の出所</t>
        </is>
      </c>
      <c r="E225" s="4" t="inlineStr">
        <is>
          <t>サンウッドHPに物件ページなし</t>
        </is>
      </c>
      <c r="F225" s="4" t="inlineStr">
        <is>
          <t>ノムコム同住戸掲載写真（野村不動産ソリューションズ）を使用</t>
        </is>
      </c>
      <c r="G225" s="4" t="inlineStr">
        <is>
          <t>転載許可の範囲確認推奨</t>
        </is>
      </c>
      <c r="H225" s="4" t="inlineStr">
        <is>
          <t>図面PDF＋ノムコム写真</t>
        </is>
      </c>
      <c r="I225" s="4" t="inlineStr">
        <is>
          <t>未確認</t>
        </is>
      </c>
    </row>
    <row r="226">
      <c r="A226" s="4" t="inlineStr">
        <is>
          <t>10</t>
        </is>
      </c>
      <c r="B226" s="4" t="inlineStr">
        <is>
          <t>東京ツインパークス</t>
        </is>
      </c>
      <c r="C226" s="4" t="inlineStr">
        <is>
          <t>未確認</t>
        </is>
      </c>
      <c r="D226" s="4" t="inlineStr">
        <is>
          <t>ザ・スカイハウスの内容</t>
        </is>
      </c>
      <c r="E226" s="4" t="n"/>
      <c r="F226" s="4" t="n"/>
      <c r="G226" s="4" t="n"/>
      <c r="H226" s="4" t="n"/>
      <c r="I226" s="4" t="inlineStr">
        <is>
          <t>未確認</t>
        </is>
      </c>
    </row>
    <row r="227">
      <c r="A227" s="4" t="inlineStr">
        <is>
          <t>10</t>
        </is>
      </c>
      <c r="B227" s="4" t="inlineStr">
        <is>
          <t>東京ツインパークス</t>
        </is>
      </c>
      <c r="C227" s="4" t="inlineStr">
        <is>
          <t>未確認</t>
        </is>
      </c>
      <c r="D227" s="4" t="inlineStr">
        <is>
          <t>プレミアム住戸の他特典</t>
        </is>
      </c>
      <c r="E227" s="4" t="n"/>
      <c r="F227" s="4" t="n"/>
      <c r="G227" s="4" t="n"/>
      <c r="H227" s="4" t="n"/>
      <c r="I227" s="4" t="inlineStr">
        <is>
          <t>未確認</t>
        </is>
      </c>
    </row>
    <row r="228">
      <c r="A228" s="4" t="inlineStr">
        <is>
          <t>10</t>
        </is>
      </c>
      <c r="B228" s="4" t="inlineStr">
        <is>
          <t>東京ツインパークス</t>
        </is>
      </c>
      <c r="C228" s="4" t="inlineStr">
        <is>
          <t>未確認</t>
        </is>
      </c>
      <c r="D228" s="4" t="inlineStr">
        <is>
          <t>大規模修繕の実施時期</t>
        </is>
      </c>
      <c r="E228" s="4" t="n"/>
      <c r="F228" s="4" t="n"/>
      <c r="G228" s="4" t="n"/>
      <c r="H228" s="4" t="n"/>
      <c r="I228" s="4" t="inlineStr">
        <is>
          <t>未確認</t>
        </is>
      </c>
    </row>
    <row r="229">
      <c r="A229" s="4" t="inlineStr">
        <is>
          <t>10</t>
        </is>
      </c>
      <c r="B229" s="4" t="inlineStr">
        <is>
          <t>東京ツインパークス</t>
        </is>
      </c>
      <c r="C229" s="4" t="inlineStr">
        <is>
          <t>未確認</t>
        </is>
      </c>
      <c r="D229" s="4" t="inlineStr">
        <is>
          <t>高潮浸水深の確定値</t>
        </is>
      </c>
      <c r="E229" s="4" t="n"/>
      <c r="F229" s="4" t="n"/>
      <c r="G229" s="4" t="n"/>
      <c r="H229" s="4" t="n"/>
      <c r="I229" s="4" t="inlineStr">
        <is>
          <t>未確認</t>
        </is>
      </c>
    </row>
    <row r="230">
      <c r="A230" s="4" t="inlineStr">
        <is>
          <t>10</t>
        </is>
      </c>
      <c r="B230" s="4" t="inlineStr">
        <is>
          <t>東京ツインパークス</t>
        </is>
      </c>
      <c r="C230" s="4" t="inlineStr">
        <is>
          <t>未確認</t>
        </is>
      </c>
      <c r="D230" s="4" t="inlineStr">
        <is>
          <t>液状化（港区マップ）</t>
        </is>
      </c>
      <c r="E230" s="4" t="n"/>
      <c r="F230" s="4" t="n"/>
      <c r="G230" s="4" t="n"/>
      <c r="H230" s="4" t="n"/>
      <c r="I230" s="4" t="inlineStr">
        <is>
          <t>未確認</t>
        </is>
      </c>
    </row>
    <row r="231">
      <c r="A231" s="4" t="inlineStr">
        <is>
          <t>10</t>
        </is>
      </c>
      <c r="B231" s="4" t="inlineStr">
        <is>
          <t>東京ツインパークス</t>
        </is>
      </c>
      <c r="C231" s="4" t="inlineStr">
        <is>
          <t>未確認</t>
        </is>
      </c>
      <c r="D231" s="4" t="inlineStr">
        <is>
          <t>二重天井・天井高の具体値</t>
        </is>
      </c>
      <c r="E231" s="4" t="n"/>
      <c r="F231" s="4" t="n"/>
      <c r="G231" s="4" t="n"/>
      <c r="H231" s="4" t="n"/>
      <c r="I231" s="4" t="inlineStr">
        <is>
          <t>未確認</t>
        </is>
      </c>
    </row>
    <row r="232">
      <c r="A232" s="4" t="inlineStr">
        <is>
          <t>10</t>
        </is>
      </c>
      <c r="B232" s="4" t="inlineStr">
        <is>
          <t>東京ツインパークス</t>
        </is>
      </c>
      <c r="C232" s="4" t="inlineStr">
        <is>
          <t>未確認</t>
        </is>
      </c>
      <c r="D232" s="4" t="inlineStr">
        <is>
          <t>室内設備メーカー</t>
        </is>
      </c>
      <c r="E232" s="4" t="n"/>
      <c r="F232" s="4" t="n"/>
      <c r="G232" s="4" t="n"/>
      <c r="H232" s="4" t="n"/>
      <c r="I232" s="4" t="inlineStr">
        <is>
          <t>未確認</t>
        </is>
      </c>
    </row>
    <row r="233">
      <c r="A233" s="4" t="inlineStr">
        <is>
          <t>10</t>
        </is>
      </c>
      <c r="B233" s="4" t="inlineStr">
        <is>
          <t>東京ツインパークス</t>
        </is>
      </c>
      <c r="C233" s="4" t="inlineStr">
        <is>
          <t>未確認</t>
        </is>
      </c>
      <c r="D233" s="4" t="inlineStr">
        <is>
          <t>食洗機・ディスポーザー有無</t>
        </is>
      </c>
      <c r="E233" s="4" t="n"/>
      <c r="F233" s="4" t="n"/>
      <c r="G233" s="4" t="n"/>
      <c r="H233" s="4" t="n"/>
      <c r="I233" s="4" t="inlineStr">
        <is>
          <t>未確認</t>
        </is>
      </c>
    </row>
    <row r="234">
      <c r="A234" s="4" t="inlineStr">
        <is>
          <t>10</t>
        </is>
      </c>
      <c r="B234" s="4" t="inlineStr">
        <is>
          <t>東京ツインパークス</t>
        </is>
      </c>
      <c r="C234" s="4" t="inlineStr">
        <is>
          <t>未確認</t>
        </is>
      </c>
      <c r="D234" s="4" t="inlineStr">
        <is>
          <t>リフォーム履歴</t>
        </is>
      </c>
      <c r="E234" s="4" t="n"/>
      <c r="F234" s="4" t="n"/>
      <c r="G234" s="4" t="n"/>
      <c r="H234" s="4" t="n"/>
      <c r="I234" s="4" t="inlineStr">
        <is>
          <t>未確認</t>
        </is>
      </c>
    </row>
    <row r="235">
      <c r="A235" s="4" t="inlineStr">
        <is>
          <t>10</t>
        </is>
      </c>
      <c r="B235" s="4" t="inlineStr">
        <is>
          <t>東京ツインパークス</t>
        </is>
      </c>
      <c r="C235" s="4" t="inlineStr">
        <is>
          <t>未確認</t>
        </is>
      </c>
      <c r="D235" s="4" t="inlineStr">
        <is>
          <t>バルコニー使用料</t>
        </is>
      </c>
      <c r="E235" s="4" t="n"/>
      <c r="F235" s="4" t="n"/>
      <c r="G235" s="4" t="n"/>
      <c r="H235" s="4" t="n"/>
      <c r="I235" s="4" t="inlineStr">
        <is>
          <t>未確認</t>
        </is>
      </c>
    </row>
    <row r="236">
      <c r="A236" s="4" t="inlineStr">
        <is>
          <t>10</t>
        </is>
      </c>
      <c r="B236" s="4" t="inlineStr">
        <is>
          <t>東京ツインパークス</t>
        </is>
      </c>
      <c r="C236" s="4" t="inlineStr">
        <is>
          <t>未確認</t>
        </is>
      </c>
      <c r="D236" s="4" t="inlineStr">
        <is>
          <t>駐車場契約の必須性</t>
        </is>
      </c>
      <c r="E236" s="4" t="n"/>
      <c r="F236" s="4" t="n"/>
      <c r="G236" s="4" t="n"/>
      <c r="H236" s="4" t="n"/>
      <c r="I236" s="4" t="inlineStr">
        <is>
          <t>未確認</t>
        </is>
      </c>
    </row>
    <row r="237">
      <c r="A237" s="4" t="inlineStr">
        <is>
          <t>10</t>
        </is>
      </c>
      <c r="B237" s="4" t="inlineStr">
        <is>
          <t>東京ツインパークス</t>
        </is>
      </c>
      <c r="C237" s="4" t="inlineStr">
        <is>
          <t>未確認</t>
        </is>
      </c>
      <c r="D237" s="4" t="inlineStr">
        <is>
          <t>家具相談</t>
        </is>
      </c>
      <c r="E237" s="4" t="n"/>
      <c r="F237" s="4" t="n"/>
      <c r="G237" s="4" t="n"/>
      <c r="H237" s="4" t="n"/>
      <c r="I237" s="4" t="inlineStr">
        <is>
          <t>未確認</t>
        </is>
      </c>
    </row>
    <row r="238">
      <c r="A238" s="4" t="inlineStr">
        <is>
          <t>10</t>
        </is>
      </c>
      <c r="B238" s="4" t="inlineStr">
        <is>
          <t>東京ツインパークス</t>
        </is>
      </c>
      <c r="C238" s="4" t="inlineStr">
        <is>
          <t>未確認</t>
        </is>
      </c>
      <c r="D238" s="4" t="inlineStr">
        <is>
          <t>竹芝再開発</t>
        </is>
      </c>
      <c r="E238" s="4" t="n"/>
      <c r="F238" s="4" t="n"/>
      <c r="G238" s="4" t="n"/>
      <c r="H238" s="4" t="n"/>
      <c r="I238" s="4" t="inlineStr">
        <is>
          <t>未確認</t>
        </is>
      </c>
    </row>
    <row r="239">
      <c r="A239" s="4" t="inlineStr">
        <is>
          <t>10</t>
        </is>
      </c>
      <c r="B239" s="4" t="inlineStr">
        <is>
          <t>東京ツインパークス</t>
        </is>
      </c>
      <c r="C239" s="4" t="inlineStr">
        <is>
          <t>未確認</t>
        </is>
      </c>
      <c r="D239" s="4" t="inlineStr">
        <is>
          <t>セキュリティの重数</t>
        </is>
      </c>
      <c r="E239" s="4" t="n"/>
      <c r="F239" s="4" t="n"/>
      <c r="G239" s="4" t="n"/>
      <c r="H239" s="4" t="n"/>
      <c r="I239" s="4" t="inlineStr">
        <is>
          <t>未確認</t>
        </is>
      </c>
    </row>
    <row r="240">
      <c r="A240" s="4" t="inlineStr">
        <is>
          <t>11</t>
        </is>
      </c>
      <c r="B240" s="4" t="inlineStr">
        <is>
          <t>乃木坂パークハウス</t>
        </is>
      </c>
      <c r="C240" s="4" t="inlineStr">
        <is>
          <t>食い違い</t>
        </is>
      </c>
      <c r="D240" s="4" t="inlineStr">
        <is>
          <t>乃木坂駅徒歩</t>
        </is>
      </c>
      <c r="E240" s="4" t="inlineStr">
        <is>
          <t>2分（図面A-p17・HP・新築時概要）</t>
        </is>
      </c>
      <c r="F240" s="4" t="inlineStr">
        <is>
          <t>3分（三菱地所の住まいリレー）</t>
        </is>
      </c>
      <c r="G240" s="4" t="inlineStr">
        <is>
          <t>新築時概要で2分</t>
        </is>
      </c>
      <c r="H240" s="4" t="inlineStr">
        <is>
          <t>2分</t>
        </is>
      </c>
      <c r="I240" s="4" t="inlineStr">
        <is>
          <t>解消</t>
        </is>
      </c>
    </row>
    <row r="241">
      <c r="A241" s="4" t="inlineStr">
        <is>
          <t>11</t>
        </is>
      </c>
      <c r="B241" s="4" t="inlineStr">
        <is>
          <t>乃木坂パークハウス</t>
        </is>
      </c>
      <c r="C241" s="4" t="inlineStr">
        <is>
          <t>食い違い</t>
        </is>
      </c>
      <c r="D241" s="4" t="inlineStr">
        <is>
          <t>構造種別</t>
        </is>
      </c>
      <c r="E241" s="4" t="inlineStr">
        <is>
          <t>制震（HiDAM）（新築時パンフp23-24）</t>
        </is>
      </c>
      <c r="F241" s="4" t="inlineStr">
        <is>
          <t>免震構造採用（マンションレビュー）</t>
        </is>
      </c>
      <c r="G241" s="4" t="inlineStr">
        <is>
          <t>パンフに免震記載なし</t>
        </is>
      </c>
      <c r="H241" s="4" t="inlineStr">
        <is>
          <t>制震</t>
        </is>
      </c>
      <c r="I241" s="4" t="inlineStr">
        <is>
          <t>解消</t>
        </is>
      </c>
    </row>
    <row r="242">
      <c r="A242" s="4" t="inlineStr">
        <is>
          <t>11</t>
        </is>
      </c>
      <c r="B242" s="4" t="inlineStr">
        <is>
          <t>乃木坂パークハウス</t>
        </is>
      </c>
      <c r="C242" s="4" t="inlineStr">
        <is>
          <t>食い違い</t>
        </is>
      </c>
      <c r="D242" s="4" t="inlineStr">
        <is>
          <t>総戸数</t>
        </is>
      </c>
      <c r="E242" s="4" t="inlineStr">
        <is>
          <t>42戸（図面・新築時概要）</t>
        </is>
      </c>
      <c r="F242" s="4" t="inlineStr">
        <is>
          <t>43戸（マンションレビュー・東京建物）</t>
        </is>
      </c>
      <c r="G242" s="4" t="inlineStr">
        <is>
          <t>概要：42戸＋管理員室1戸</t>
        </is>
      </c>
      <c r="H242" s="4" t="inlineStr">
        <is>
          <t>42戸</t>
        </is>
      </c>
      <c r="I242" s="4" t="inlineStr">
        <is>
          <t>解消</t>
        </is>
      </c>
    </row>
    <row r="243">
      <c r="A243" s="4" t="inlineStr">
        <is>
          <t>11</t>
        </is>
      </c>
      <c r="B243" s="4" t="inlineStr">
        <is>
          <t>乃木坂パークハウス</t>
        </is>
      </c>
      <c r="C243" s="4" t="inlineStr">
        <is>
          <t>食い違い</t>
        </is>
      </c>
      <c r="D243" s="4" t="inlineStr">
        <is>
          <t>竣工</t>
        </is>
      </c>
      <c r="E243" s="4" t="inlineStr">
        <is>
          <t>2010年6月（図面・概要）</t>
        </is>
      </c>
      <c r="F243" s="4" t="inlineStr">
        <is>
          <t>2010年8月（アクセルホーム）</t>
        </is>
      </c>
      <c r="G243" s="4" t="inlineStr">
        <is>
          <t>8月は引渡予定時期</t>
        </is>
      </c>
      <c r="H243" s="4" t="inlineStr">
        <is>
          <t>2010年6月</t>
        </is>
      </c>
      <c r="I243" s="4" t="inlineStr">
        <is>
          <t>解消</t>
        </is>
      </c>
    </row>
    <row r="244">
      <c r="A244" s="4" t="inlineStr">
        <is>
          <t>11</t>
        </is>
      </c>
      <c r="B244" s="4" t="inlineStr">
        <is>
          <t>乃木坂パークハウス</t>
        </is>
      </c>
      <c r="C244" s="4" t="inlineStr">
        <is>
          <t>食い違い</t>
        </is>
      </c>
      <c r="D244" s="4" t="inlineStr">
        <is>
          <t>管理体制</t>
        </is>
      </c>
      <c r="E244" s="4" t="inlineStr">
        <is>
          <t>日勤＋常駐警備員20時〜翌8時（図面）</t>
        </is>
      </c>
      <c r="F244" s="4" t="inlineStr">
        <is>
          <t>新築時24h有人（管理員8-21時・警備員20:30-8:30）</t>
        </is>
      </c>
      <c r="G244" s="4" t="inlineStr">
        <is>
          <t>現行契約未確認</t>
        </is>
      </c>
      <c r="H244" s="4" t="inlineStr">
        <is>
          <t>図面表記</t>
        </is>
      </c>
      <c r="I244" s="4" t="inlineStr">
        <is>
          <t>未確認</t>
        </is>
      </c>
    </row>
    <row r="245">
      <c r="A245" s="4" t="inlineStr">
        <is>
          <t>11</t>
        </is>
      </c>
      <c r="B245" s="4" t="inlineStr">
        <is>
          <t>乃木坂パークハウス</t>
        </is>
      </c>
      <c r="C245" s="4" t="inlineStr">
        <is>
          <t>食い違い</t>
        </is>
      </c>
      <c r="D245" s="4" t="inlineStr">
        <is>
          <t>駐車場</t>
        </is>
      </c>
      <c r="E245" s="4" t="inlineStr">
        <is>
          <t>機械式27台（新築時概要）</t>
        </is>
      </c>
      <c r="F245" s="4" t="inlineStr">
        <is>
          <t>自走式/平面・48,000円（マンションマーケット）、48,000〜50,000円（アクセルホーム）</t>
        </is>
      </c>
      <c r="G245" s="4" t="inlineStr">
        <is>
          <t>料金は公式未確認</t>
        </is>
      </c>
      <c r="H245" s="4" t="inlineStr">
        <is>
          <t>機械式、料金48,000円〜（参考）</t>
        </is>
      </c>
      <c r="I245" s="4" t="inlineStr">
        <is>
          <t>未確認</t>
        </is>
      </c>
    </row>
    <row r="246">
      <c r="A246" s="4" t="inlineStr">
        <is>
          <t>11</t>
        </is>
      </c>
      <c r="B246" s="4" t="inlineStr">
        <is>
          <t>乃木坂パークハウス</t>
        </is>
      </c>
      <c r="C246" s="4" t="inlineStr">
        <is>
          <t>食い違い</t>
        </is>
      </c>
      <c r="D246" s="4" t="inlineStr">
        <is>
          <t>ペット細則</t>
        </is>
      </c>
      <c r="E246" s="4" t="inlineStr">
        <is>
          <t>体高70cm・10kg以内（図面）</t>
        </is>
      </c>
      <c r="F246" s="4" t="inlineStr">
        <is>
          <t>ペット相談可（ポータル）</t>
        </is>
      </c>
      <c r="G246" s="4" t="inlineStr">
        <is>
          <t>規約原本未確認</t>
        </is>
      </c>
      <c r="H246" s="4" t="inlineStr">
        <is>
          <t>図面表記</t>
        </is>
      </c>
      <c r="I246" s="4" t="inlineStr">
        <is>
          <t>未確認</t>
        </is>
      </c>
    </row>
    <row r="247">
      <c r="A247" s="4" t="inlineStr">
        <is>
          <t>11</t>
        </is>
      </c>
      <c r="B247" s="4" t="inlineStr">
        <is>
          <t>乃木坂パークハウス</t>
        </is>
      </c>
      <c r="C247" s="4" t="inlineStr">
        <is>
          <t>食い違い</t>
        </is>
      </c>
      <c r="D247" s="4" t="inlineStr">
        <is>
          <t>敷地権割合</t>
        </is>
      </c>
      <c r="E247" s="4" t="inlineStr">
        <is>
          <t>10,000分の3,999（HP）</t>
        </is>
      </c>
      <c r="F247" s="4" t="inlineStr">
        <is>
          <t>―</t>
        </is>
      </c>
      <c r="G247" s="4" t="inlineStr">
        <is>
          <t>値が大きく要確認</t>
        </is>
      </c>
      <c r="H247" s="4" t="inlineStr">
        <is>
          <t>未確認</t>
        </is>
      </c>
      <c r="I247" s="4" t="inlineStr">
        <is>
          <t>未確認</t>
        </is>
      </c>
    </row>
    <row r="248">
      <c r="A248" s="4" t="inlineStr">
        <is>
          <t>11</t>
        </is>
      </c>
      <c r="B248" s="4" t="inlineStr">
        <is>
          <t>乃木坂パークハウス</t>
        </is>
      </c>
      <c r="C248" s="4" t="inlineStr">
        <is>
          <t>未確認</t>
        </is>
      </c>
      <c r="D248" s="4" t="inlineStr">
        <is>
          <t>大規模修繕の実施時期・予定</t>
        </is>
      </c>
      <c r="E248" s="4" t="n"/>
      <c r="F248" s="4" t="n"/>
      <c r="G248" s="4" t="n"/>
      <c r="H248" s="4" t="n"/>
      <c r="I248" s="4" t="inlineStr">
        <is>
          <t>未確認</t>
        </is>
      </c>
    </row>
    <row r="249">
      <c r="A249" s="4" t="inlineStr">
        <is>
          <t>11</t>
        </is>
      </c>
      <c r="B249" s="4" t="inlineStr">
        <is>
          <t>乃木坂パークハウス</t>
        </is>
      </c>
      <c r="C249" s="4" t="inlineStr">
        <is>
          <t>未確認</t>
        </is>
      </c>
      <c r="D249" s="4" t="inlineStr">
        <is>
          <t>二重床・二重天井</t>
        </is>
      </c>
      <c r="E249" s="4" t="n"/>
      <c r="F249" s="4" t="n"/>
      <c r="G249" s="4" t="n"/>
      <c r="H249" s="4" t="n"/>
      <c r="I249" s="4" t="inlineStr">
        <is>
          <t>未確認</t>
        </is>
      </c>
    </row>
    <row r="250">
      <c r="A250" s="4" t="inlineStr">
        <is>
          <t>11</t>
        </is>
      </c>
      <c r="B250" s="4" t="inlineStr">
        <is>
          <t>乃木坂パークハウス</t>
        </is>
      </c>
      <c r="C250" s="4" t="inlineStr">
        <is>
          <t>未確認</t>
        </is>
      </c>
      <c r="D250" s="4" t="inlineStr">
        <is>
          <t>天井高</t>
        </is>
      </c>
      <c r="E250" s="4" t="n"/>
      <c r="F250" s="4" t="n"/>
      <c r="G250" s="4" t="n"/>
      <c r="H250" s="4" t="n"/>
      <c r="I250" s="4" t="inlineStr">
        <is>
          <t>未確認</t>
        </is>
      </c>
    </row>
    <row r="251">
      <c r="A251" s="4" t="inlineStr">
        <is>
          <t>11</t>
        </is>
      </c>
      <c r="B251" s="4" t="inlineStr">
        <is>
          <t>乃木坂パークハウス</t>
        </is>
      </c>
      <c r="C251" s="4" t="inlineStr">
        <is>
          <t>未確認</t>
        </is>
      </c>
      <c r="D251" s="4" t="inlineStr">
        <is>
          <t>駐車場料金・現行台数（公式）</t>
        </is>
      </c>
      <c r="E251" s="4" t="n"/>
      <c r="F251" s="4" t="n"/>
      <c r="G251" s="4" t="n"/>
      <c r="H251" s="4" t="n"/>
      <c r="I251" s="4" t="inlineStr">
        <is>
          <t>未確認</t>
        </is>
      </c>
    </row>
    <row r="252">
      <c r="A252" s="4" t="inlineStr">
        <is>
          <t>11</t>
        </is>
      </c>
      <c r="B252" s="4" t="inlineStr">
        <is>
          <t>乃木坂パークハウス</t>
        </is>
      </c>
      <c r="C252" s="4" t="inlineStr">
        <is>
          <t>未確認</t>
        </is>
      </c>
      <c r="D252" s="4" t="inlineStr">
        <is>
          <t>ペット細則原本</t>
        </is>
      </c>
      <c r="E252" s="4" t="n"/>
      <c r="F252" s="4" t="n"/>
      <c r="G252" s="4" t="n"/>
      <c r="H252" s="4" t="n"/>
      <c r="I252" s="4" t="inlineStr">
        <is>
          <t>未確認</t>
        </is>
      </c>
    </row>
    <row r="253">
      <c r="A253" s="4" t="inlineStr">
        <is>
          <t>11</t>
        </is>
      </c>
      <c r="B253" s="4" t="inlineStr">
        <is>
          <t>乃木坂パークハウス</t>
        </is>
      </c>
      <c r="C253" s="4" t="inlineStr">
        <is>
          <t>未確認</t>
        </is>
      </c>
      <c r="D253" s="4" t="inlineStr">
        <is>
          <t>現行コンシェルジュ有無</t>
        </is>
      </c>
      <c r="E253" s="4" t="n"/>
      <c r="F253" s="4" t="n"/>
      <c r="G253" s="4" t="n"/>
      <c r="H253" s="4" t="n"/>
      <c r="I253" s="4" t="inlineStr">
        <is>
          <t>未確認</t>
        </is>
      </c>
    </row>
    <row r="254">
      <c r="A254" s="4" t="inlineStr">
        <is>
          <t>11</t>
        </is>
      </c>
      <c r="B254" s="4" t="inlineStr">
        <is>
          <t>乃木坂パークハウス</t>
        </is>
      </c>
      <c r="C254" s="4" t="inlineStr">
        <is>
          <t>未確認</t>
        </is>
      </c>
      <c r="D254" s="4" t="inlineStr">
        <is>
          <t>デザイン監修</t>
        </is>
      </c>
      <c r="E254" s="4" t="n"/>
      <c r="F254" s="4" t="n"/>
      <c r="G254" s="4" t="n"/>
      <c r="H254" s="4" t="n"/>
      <c r="I254" s="4" t="inlineStr">
        <is>
          <t>未確認</t>
        </is>
      </c>
    </row>
    <row r="255">
      <c r="A255" s="4" t="inlineStr">
        <is>
          <t>11</t>
        </is>
      </c>
      <c r="B255" s="4" t="inlineStr">
        <is>
          <t>乃木坂パークハウス</t>
        </is>
      </c>
      <c r="C255" s="4" t="inlineStr">
        <is>
          <t>未確認</t>
        </is>
      </c>
      <c r="D255" s="4" t="inlineStr">
        <is>
          <t>港区ハザードマップ（区作成版）</t>
        </is>
      </c>
      <c r="E255" s="4" t="n"/>
      <c r="F255" s="4" t="n"/>
      <c r="G255" s="4" t="n"/>
      <c r="H255" s="4" t="n"/>
      <c r="I255" s="4" t="inlineStr">
        <is>
          <t>未確認</t>
        </is>
      </c>
    </row>
    <row r="256">
      <c r="A256" s="4" t="inlineStr">
        <is>
          <t>11</t>
        </is>
      </c>
      <c r="B256" s="4" t="inlineStr">
        <is>
          <t>乃木坂パークハウス</t>
        </is>
      </c>
      <c r="C256" s="4" t="inlineStr">
        <is>
          <t>未確認</t>
        </is>
      </c>
      <c r="D256" s="4" t="inlineStr">
        <is>
          <t>学区（区の通学区域表）</t>
        </is>
      </c>
      <c r="E256" s="4" t="n"/>
      <c r="F256" s="4" t="n"/>
      <c r="G256" s="4" t="n"/>
      <c r="H256" s="4" t="n"/>
      <c r="I256" s="4" t="inlineStr">
        <is>
          <t>未確認</t>
        </is>
      </c>
    </row>
    <row r="257">
      <c r="A257" s="4" t="inlineStr">
        <is>
          <t>11</t>
        </is>
      </c>
      <c r="B257" s="4" t="inlineStr">
        <is>
          <t>乃木坂パークハウス</t>
        </is>
      </c>
      <c r="C257" s="4" t="inlineStr">
        <is>
          <t>未確認</t>
        </is>
      </c>
      <c r="D257" s="4" t="inlineStr">
        <is>
          <t>21階の新築時タイプと現況設備・リフォーム履歴</t>
        </is>
      </c>
      <c r="E257" s="4" t="n"/>
      <c r="F257" s="4" t="n"/>
      <c r="G257" s="4" t="n"/>
      <c r="H257" s="4" t="n"/>
      <c r="I257" s="4" t="inlineStr">
        <is>
          <t>未確認</t>
        </is>
      </c>
    </row>
    <row r="258">
      <c r="A258" s="4" t="inlineStr">
        <is>
          <t>11</t>
        </is>
      </c>
      <c r="B258" s="4" t="inlineStr">
        <is>
          <t>乃木坂パークハウス</t>
        </is>
      </c>
      <c r="C258" s="4" t="inlineStr">
        <is>
          <t>未確認</t>
        </is>
      </c>
      <c r="D258" s="4" t="inlineStr">
        <is>
          <t>バルコニー使用料</t>
        </is>
      </c>
      <c r="E258" s="4" t="n"/>
      <c r="F258" s="4" t="n"/>
      <c r="G258" s="4" t="n"/>
      <c r="H258" s="4" t="n"/>
      <c r="I258" s="4" t="inlineStr">
        <is>
          <t>未確認</t>
        </is>
      </c>
    </row>
    <row r="259">
      <c r="A259" s="4" t="inlineStr">
        <is>
          <t>11</t>
        </is>
      </c>
      <c r="B259" s="4" t="inlineStr">
        <is>
          <t>乃木坂パークハウス</t>
        </is>
      </c>
      <c r="C259" s="4" t="inlineStr">
        <is>
          <t>未確認</t>
        </is>
      </c>
      <c r="D259" s="4" t="inlineStr">
        <is>
          <t>主採光方位</t>
        </is>
      </c>
      <c r="E259" s="4" t="n"/>
      <c r="F259" s="4" t="n"/>
      <c r="G259" s="4" t="n"/>
      <c r="H259" s="4" t="n"/>
      <c r="I259" s="4" t="inlineStr">
        <is>
          <t>未確認</t>
        </is>
      </c>
    </row>
    <row r="260">
      <c r="A260" s="4" t="inlineStr">
        <is>
          <t>11</t>
        </is>
      </c>
      <c r="B260" s="4" t="inlineStr">
        <is>
          <t>乃木坂パークハウス</t>
        </is>
      </c>
      <c r="C260" s="4" t="inlineStr">
        <is>
          <t>未確認</t>
        </is>
      </c>
      <c r="D260" s="4" t="inlineStr">
        <is>
          <t>敷地権割合</t>
        </is>
      </c>
      <c r="E260" s="4" t="n"/>
      <c r="F260" s="4" t="n"/>
      <c r="G260" s="4" t="n"/>
      <c r="H260" s="4" t="n"/>
      <c r="I260" s="4" t="inlineStr">
        <is>
          <t>未確認</t>
        </is>
      </c>
    </row>
    <row r="261">
      <c r="A261" s="4" t="inlineStr">
        <is>
          <t>11</t>
        </is>
      </c>
      <c r="B261" s="4" t="inlineStr">
        <is>
          <t>乃木坂パークハウス</t>
        </is>
      </c>
      <c r="C261" s="4" t="inlineStr">
        <is>
          <t>未確認</t>
        </is>
      </c>
      <c r="D261" s="4" t="inlineStr">
        <is>
          <t>家具相談</t>
        </is>
      </c>
      <c r="E261" s="4" t="n"/>
      <c r="F261" s="4" t="n"/>
      <c r="G261" s="4" t="n"/>
      <c r="H261" s="4" t="n"/>
      <c r="I261" s="4" t="inlineStr">
        <is>
          <t>未確認</t>
        </is>
      </c>
    </row>
    <row r="262">
      <c r="A262" s="4" t="inlineStr">
        <is>
          <t>11</t>
        </is>
      </c>
      <c r="B262" s="4" t="inlineStr">
        <is>
          <t>乃木坂パークハウス</t>
        </is>
      </c>
      <c r="C262" s="4" t="inlineStr">
        <is>
          <t>未確認</t>
        </is>
      </c>
      <c r="D262" s="4" t="inlineStr">
        <is>
          <t>共用施設の現行運用・料金</t>
        </is>
      </c>
      <c r="E262" s="4" t="n"/>
      <c r="F262" s="4" t="n"/>
      <c r="G262" s="4" t="n"/>
      <c r="H262" s="4" t="n"/>
      <c r="I262" s="4" t="inlineStr">
        <is>
          <t>未確認</t>
        </is>
      </c>
    </row>
    <row r="263">
      <c r="A263" s="4" t="inlineStr">
        <is>
          <t>12</t>
        </is>
      </c>
      <c r="B263" s="4" t="inlineStr">
        <is>
          <t>HIKAWA GARDENS AKASAKA</t>
        </is>
      </c>
      <c r="C263" s="4" t="inlineStr">
        <is>
          <t>食い違い</t>
        </is>
      </c>
      <c r="D263" s="4" t="inlineStr">
        <is>
          <t>分譲会社名</t>
        </is>
      </c>
      <c r="E263" s="4" t="inlineStr">
        <is>
          <t>ペンブローグ（ケン A-p19・KEN）</t>
        </is>
      </c>
      <c r="F263" s="4" t="inlineStr">
        <is>
          <t>ペンブローク・リアルエステート・ジャパンエルエルシー（SMTRC）／Pembroke Real Estate（PLACEMEDIA）</t>
        </is>
      </c>
      <c r="G263" s="4" t="inlineStr">
        <is>
          <t>Pembroke公式の開発事例にHikawa Gardens掲載。ペンブローグは表記ゆれ</t>
        </is>
      </c>
      <c r="H263" s="4" t="inlineStr">
        <is>
          <t>ペンブローク・リアルエステート・ジャパン エルエルシー</t>
        </is>
      </c>
      <c r="I263" s="4" t="inlineStr">
        <is>
          <t>解消</t>
        </is>
      </c>
    </row>
    <row r="264">
      <c r="A264" s="4" t="inlineStr">
        <is>
          <t>12</t>
        </is>
      </c>
      <c r="B264" s="4" t="inlineStr">
        <is>
          <t>HIKAWA GARDENS AKASAKA</t>
        </is>
      </c>
      <c r="C264" s="4" t="inlineStr">
        <is>
          <t>食い違い</t>
        </is>
      </c>
      <c r="D264" s="4" t="inlineStr">
        <is>
          <t>新築時とリノベ時の事業主</t>
        </is>
      </c>
      <c r="E264" s="4" t="inlineStr">
        <is>
          <t>新築時2002：Pembroke Real Estate（PLACEMEDIA・SMTRC）、当初は一棟賃貸「氷川ガーデンズ」</t>
        </is>
      </c>
      <c r="F264" s="4" t="inlineStr">
        <is>
          <t>2018リノベ施主：Pembroke Real Estate Japan LLC（Tomoru）、Pembroke公式は『Sold 2017』</t>
        </is>
      </c>
      <c r="G264" s="4" t="inlineStr">
        <is>
          <t>両時点ともペンブローク。リノベ後の区分販売の売主は公式で確認できず</t>
        </is>
      </c>
      <c r="H264" s="4" t="inlineStr">
        <is>
          <t>新築時・リノベ時ともペンブローク／分譲売主は未確認</t>
        </is>
      </c>
      <c r="I264" s="4" t="inlineStr">
        <is>
          <t>一部未確認</t>
        </is>
      </c>
    </row>
    <row r="265">
      <c r="A265" s="4" t="inlineStr">
        <is>
          <t>12</t>
        </is>
      </c>
      <c r="B265" s="4" t="inlineStr">
        <is>
          <t>HIKAWA GARDENS AKASAKA</t>
        </is>
      </c>
      <c r="C265" s="4" t="inlineStr">
        <is>
          <t>食い違い</t>
        </is>
      </c>
      <c r="D265" s="4" t="inlineStr">
        <is>
          <t>その他費用内訳</t>
        </is>
      </c>
      <c r="E265" s="4" t="inlineStr">
        <is>
          <t>93,540円（ケン A-p19）</t>
        </is>
      </c>
      <c r="F265" s="4" t="inlineStr">
        <is>
          <t>9,060＋17,780＋64,000＋2,700（合豊 A-p18）</t>
        </is>
      </c>
      <c r="G265" s="4" t="inlineStr">
        <is>
          <t>合計一致。SUUMOも26,840＋66,700＝93,540</t>
        </is>
      </c>
      <c r="H265" s="4" t="inlineStr">
        <is>
          <t>93,540円（4項目）</t>
        </is>
      </c>
      <c r="I265" s="4" t="inlineStr">
        <is>
          <t>解消</t>
        </is>
      </c>
    </row>
    <row r="266">
      <c r="A266" s="4" t="inlineStr">
        <is>
          <t>12</t>
        </is>
      </c>
      <c r="B266" s="4" t="inlineStr">
        <is>
          <t>HIKAWA GARDENS AKASAKA</t>
        </is>
      </c>
      <c r="C266" s="4" t="inlineStr">
        <is>
          <t>食い違い</t>
        </is>
      </c>
      <c r="D266" s="4" t="inlineStr">
        <is>
          <t>施工会社</t>
        </is>
      </c>
      <c r="E266" s="4" t="inlineStr">
        <is>
          <t>新築時 大成建設（図面・KEN・SUUMO・SMTRC）</t>
        </is>
      </c>
      <c r="F266" s="4" t="inlineStr">
        <is>
          <t>リノベ時 大成建設（リストサザビーズ過去掲載・現在404）</t>
        </is>
      </c>
      <c r="G266" s="4" t="inlineStr">
        <is>
          <t>新築時は複数情報源で一致。リノベ時は公式で確認できず</t>
        </is>
      </c>
      <c r="H266" s="4" t="inlineStr">
        <is>
          <t>新築時 大成建設／リノベ時 未確認</t>
        </is>
      </c>
      <c r="I266" s="4" t="inlineStr">
        <is>
          <t>一部未確認</t>
        </is>
      </c>
    </row>
    <row r="267">
      <c r="A267" s="4" t="inlineStr">
        <is>
          <t>12</t>
        </is>
      </c>
      <c r="B267" s="4" t="inlineStr">
        <is>
          <t>HIKAWA GARDENS AKASAKA</t>
        </is>
      </c>
      <c r="C267" s="4" t="inlineStr">
        <is>
          <t>食い違い</t>
        </is>
      </c>
      <c r="D267" s="4" t="inlineStr">
        <is>
          <t>アーキサイトメビウス設計</t>
        </is>
      </c>
      <c r="E267" s="4" t="inlineStr">
        <is>
          <t>合豊 A-p18</t>
        </is>
      </c>
      <c r="F267" s="4" t="inlineStr">
        <is>
          <t>アーキサイトメビウス公式の作品ページ HIKAWA GARDENS 2018</t>
        </is>
      </c>
      <c r="G267" s="4" t="inlineStr">
        <is>
          <t>公式で確認</t>
        </is>
      </c>
      <c r="H267" s="4" t="inlineStr">
        <is>
          <t>アーキサイトメビウス</t>
        </is>
      </c>
      <c r="I267" s="4" t="inlineStr">
        <is>
          <t>解消</t>
        </is>
      </c>
    </row>
    <row r="268">
      <c r="A268" s="4" t="inlineStr">
        <is>
          <t>12</t>
        </is>
      </c>
      <c r="B268" s="4" t="inlineStr">
        <is>
          <t>HIKAWA GARDENS AKASAKA</t>
        </is>
      </c>
      <c r="C268" s="4" t="inlineStr">
        <is>
          <t>食い違い</t>
        </is>
      </c>
      <c r="D268" s="4" t="inlineStr">
        <is>
          <t>港区景観街づくり賞</t>
        </is>
      </c>
      <c r="E268" s="4" t="inlineStr">
        <is>
          <t>令和2年度奨励賞（合豊 A-p18）</t>
        </is>
      </c>
      <c r="F268" s="4" t="inlineStr">
        <is>
          <t>港区公式の過去受賞一覧 令和2年度 奨励賞 HIKAWA GARDENS AKASAKA</t>
        </is>
      </c>
      <c r="G268" s="4" t="inlineStr">
        <is>
          <t>公式で確認</t>
        </is>
      </c>
      <c r="H268" s="4" t="inlineStr">
        <is>
          <t>令和2年度 港区景観街づくり賞奨励賞</t>
        </is>
      </c>
      <c r="I268" s="4" t="inlineStr">
        <is>
          <t>解消</t>
        </is>
      </c>
    </row>
    <row r="269">
      <c r="A269" s="4" t="inlineStr">
        <is>
          <t>12</t>
        </is>
      </c>
      <c r="B269" s="4" t="inlineStr">
        <is>
          <t>HIKAWA GARDENS AKASAKA</t>
        </is>
      </c>
      <c r="C269" s="4" t="inlineStr">
        <is>
          <t>食い違い</t>
        </is>
      </c>
      <c r="D269" s="4" t="inlineStr">
        <is>
          <t>旧建物名</t>
        </is>
      </c>
      <c r="E269" s="4" t="inlineStr">
        <is>
          <t>氷川ガーデンズ（SMTRC・PLACEMEDIA）</t>
        </is>
      </c>
      <c r="F269" s="4" t="inlineStr">
        <is>
          <t>氷川ガーデンズ赤坂（賃貸掲載）</t>
        </is>
      </c>
      <c r="G269" s="4" t="inlineStr">
        <is>
          <t>Pembroke公式の事例名はHikawa Gardens</t>
        </is>
      </c>
      <c r="H269" s="4" t="inlineStr">
        <is>
          <t>旧称 氷川ガーデンズ（赤坂）</t>
        </is>
      </c>
      <c r="I269" s="4" t="inlineStr">
        <is>
          <t>解消</t>
        </is>
      </c>
    </row>
    <row r="270">
      <c r="A270" s="4" t="inlineStr">
        <is>
          <t>12</t>
        </is>
      </c>
      <c r="B270" s="4" t="inlineStr">
        <is>
          <t>HIKAWA GARDENS AKASAKA</t>
        </is>
      </c>
      <c r="C270" s="4" t="inlineStr">
        <is>
          <t>食い違い</t>
        </is>
      </c>
      <c r="D270" s="4" t="inlineStr">
        <is>
          <t>地下階数</t>
        </is>
      </c>
      <c r="E270" s="4" t="inlineStr">
        <is>
          <t>地下2階（図面・KEN・SUUMO）</t>
        </is>
      </c>
      <c r="F270" s="4" t="inlineStr">
        <is>
          <t>地下1階（SMTRC）</t>
        </is>
      </c>
      <c r="G270" s="4" t="inlineStr">
        <is>
          <t>公式で確認できず</t>
        </is>
      </c>
      <c r="H270" s="4" t="inlineStr">
        <is>
          <t>地下2階</t>
        </is>
      </c>
      <c r="I270" s="4" t="inlineStr">
        <is>
          <t>未確認</t>
        </is>
      </c>
    </row>
    <row r="271">
      <c r="A271" s="4" t="inlineStr">
        <is>
          <t>12</t>
        </is>
      </c>
      <c r="B271" s="4" t="inlineStr">
        <is>
          <t>HIKAWA GARDENS AKASAKA</t>
        </is>
      </c>
      <c r="C271" s="4" t="inlineStr">
        <is>
          <t>食い違い</t>
        </is>
      </c>
      <c r="D271" s="4" t="inlineStr">
        <is>
          <t>竣工年月</t>
        </is>
      </c>
      <c r="E271" s="4" t="inlineStr">
        <is>
          <t>2002年8月（図面・KEN・SUUMO・SMTRC）</t>
        </is>
      </c>
      <c r="F271" s="4" t="inlineStr">
        <is>
          <t>2002年7月（三井の賃貸・恵比寿不動産等）</t>
        </is>
      </c>
      <c r="G271" s="4" t="inlineStr">
        <is>
          <t>公式で確認できず</t>
        </is>
      </c>
      <c r="H271" s="4" t="inlineStr">
        <is>
          <t>2002年8月</t>
        </is>
      </c>
      <c r="I271" s="4" t="inlineStr">
        <is>
          <t>未確認</t>
        </is>
      </c>
    </row>
    <row r="272">
      <c r="A272" s="4" t="inlineStr">
        <is>
          <t>12</t>
        </is>
      </c>
      <c r="B272" s="4" t="inlineStr">
        <is>
          <t>HIKAWA GARDENS AKASAKA</t>
        </is>
      </c>
      <c r="C272" s="4" t="inlineStr">
        <is>
          <t>食い違い</t>
        </is>
      </c>
      <c r="D272" s="4" t="inlineStr">
        <is>
          <t>土砂災害警戒区域</t>
        </is>
      </c>
      <c r="E272" s="4" t="inlineStr">
        <is>
          <t>急傾斜地の警戒区域（黄色）が街区代表点の西約4m（国土地理院タイル）</t>
        </is>
      </c>
      <c r="F272" s="4" t="inlineStr">
        <is>
          <t>―</t>
        </is>
      </c>
      <c r="G272" s="4" t="inlineStr">
        <is>
          <t>敷地が区域内かは未確認</t>
        </is>
      </c>
      <c r="H272" s="4" t="inlineStr">
        <is>
          <t>重要事項説明で要確認</t>
        </is>
      </c>
      <c r="I272" s="4" t="inlineStr">
        <is>
          <t>未確認</t>
        </is>
      </c>
    </row>
    <row r="273">
      <c r="A273" s="4" t="inlineStr">
        <is>
          <t>12</t>
        </is>
      </c>
      <c r="B273" s="4" t="inlineStr">
        <is>
          <t>HIKAWA GARDENS AKASAKA</t>
        </is>
      </c>
      <c r="C273" s="4" t="inlineStr">
        <is>
          <t>未確認</t>
        </is>
      </c>
      <c r="D273" s="4" t="inlineStr">
        <is>
          <t>リノベ後の分譲売主</t>
        </is>
      </c>
      <c r="E273" s="4" t="n"/>
      <c r="F273" s="4" t="n"/>
      <c r="G273" s="4" t="n"/>
      <c r="H273" s="4" t="n"/>
      <c r="I273" s="4" t="inlineStr">
        <is>
          <t>未確認</t>
        </is>
      </c>
    </row>
    <row r="274">
      <c r="A274" s="4" t="inlineStr">
        <is>
          <t>12</t>
        </is>
      </c>
      <c r="B274" s="4" t="inlineStr">
        <is>
          <t>HIKAWA GARDENS AKASAKA</t>
        </is>
      </c>
      <c r="C274" s="4" t="inlineStr">
        <is>
          <t>未確認</t>
        </is>
      </c>
      <c r="D274" s="4" t="inlineStr">
        <is>
          <t>リノベ時の施工会社</t>
        </is>
      </c>
      <c r="E274" s="4" t="n"/>
      <c r="F274" s="4" t="n"/>
      <c r="G274" s="4" t="n"/>
      <c r="H274" s="4" t="n"/>
      <c r="I274" s="4" t="inlineStr">
        <is>
          <t>未確認</t>
        </is>
      </c>
    </row>
    <row r="275">
      <c r="A275" s="4" t="inlineStr">
        <is>
          <t>12</t>
        </is>
      </c>
      <c r="B275" s="4" t="inlineStr">
        <is>
          <t>HIKAWA GARDENS AKASAKA</t>
        </is>
      </c>
      <c r="C275" s="4" t="inlineStr">
        <is>
          <t>未確認</t>
        </is>
      </c>
      <c r="D275" s="4" t="inlineStr">
        <is>
          <t>地下階数（2階か1階か）</t>
        </is>
      </c>
      <c r="E275" s="4" t="n"/>
      <c r="F275" s="4" t="n"/>
      <c r="G275" s="4" t="n"/>
      <c r="H275" s="4" t="n"/>
      <c r="I275" s="4" t="inlineStr">
        <is>
          <t>未確認</t>
        </is>
      </c>
    </row>
    <row r="276">
      <c r="A276" s="4" t="inlineStr">
        <is>
          <t>12</t>
        </is>
      </c>
      <c r="B276" s="4" t="inlineStr">
        <is>
          <t>HIKAWA GARDENS AKASAKA</t>
        </is>
      </c>
      <c r="C276" s="4" t="inlineStr">
        <is>
          <t>未確認</t>
        </is>
      </c>
      <c r="D276" s="4" t="inlineStr">
        <is>
          <t>竣工年月（7月か8月か）</t>
        </is>
      </c>
      <c r="E276" s="4" t="n"/>
      <c r="F276" s="4" t="n"/>
      <c r="G276" s="4" t="n"/>
      <c r="H276" s="4" t="n"/>
      <c r="I276" s="4" t="inlineStr">
        <is>
          <t>未確認</t>
        </is>
      </c>
    </row>
    <row r="277">
      <c r="A277" s="4" t="inlineStr">
        <is>
          <t>12</t>
        </is>
      </c>
      <c r="B277" s="4" t="inlineStr">
        <is>
          <t>HIKAWA GARDENS AKASAKA</t>
        </is>
      </c>
      <c r="C277" s="4" t="inlineStr">
        <is>
          <t>未確認</t>
        </is>
      </c>
      <c r="D277" s="4" t="inlineStr">
        <is>
          <t>管理体制（コンシェルジュ表記）</t>
        </is>
      </c>
      <c r="E277" s="4" t="n"/>
      <c r="F277" s="4" t="n"/>
      <c r="G277" s="4" t="n"/>
      <c r="H277" s="4" t="n"/>
      <c r="I277" s="4" t="inlineStr">
        <is>
          <t>未確認</t>
        </is>
      </c>
    </row>
    <row r="278">
      <c r="A278" s="4" t="inlineStr">
        <is>
          <t>12</t>
        </is>
      </c>
      <c r="B278" s="4" t="inlineStr">
        <is>
          <t>HIKAWA GARDENS AKASAKA</t>
        </is>
      </c>
      <c r="C278" s="4" t="inlineStr">
        <is>
          <t>未確認</t>
        </is>
      </c>
      <c r="D278" s="4" t="inlineStr">
        <is>
          <t>土砂災害警戒区域との位置関係</t>
        </is>
      </c>
      <c r="E278" s="4" t="n"/>
      <c r="F278" s="4" t="n"/>
      <c r="G278" s="4" t="n"/>
      <c r="H278" s="4" t="n"/>
      <c r="I278" s="4" t="inlineStr">
        <is>
          <t>未確認</t>
        </is>
      </c>
    </row>
    <row r="279">
      <c r="A279" s="4" t="inlineStr">
        <is>
          <t>12</t>
        </is>
      </c>
      <c r="B279" s="4" t="inlineStr">
        <is>
          <t>HIKAWA GARDENS AKASAKA</t>
        </is>
      </c>
      <c r="C279" s="4" t="inlineStr">
        <is>
          <t>未確認</t>
        </is>
      </c>
      <c r="D279" s="4" t="inlineStr">
        <is>
          <t>大規模修繕の実施時期・予定</t>
        </is>
      </c>
      <c r="E279" s="4" t="n"/>
      <c r="F279" s="4" t="n"/>
      <c r="G279" s="4" t="n"/>
      <c r="H279" s="4" t="n"/>
      <c r="I279" s="4" t="inlineStr">
        <is>
          <t>未確認</t>
        </is>
      </c>
    </row>
    <row r="280">
      <c r="A280" s="4" t="inlineStr">
        <is>
          <t>12</t>
        </is>
      </c>
      <c r="B280" s="4" t="inlineStr">
        <is>
          <t>HIKAWA GARDENS AKASAKA</t>
        </is>
      </c>
      <c r="C280" s="4" t="inlineStr">
        <is>
          <t>未確認</t>
        </is>
      </c>
      <c r="D280" s="4" t="inlineStr">
        <is>
          <t>ペット細則</t>
        </is>
      </c>
      <c r="E280" s="4" t="n"/>
      <c r="F280" s="4" t="n"/>
      <c r="G280" s="4" t="n"/>
      <c r="H280" s="4" t="n"/>
      <c r="I280" s="4" t="inlineStr">
        <is>
          <t>未確認</t>
        </is>
      </c>
    </row>
    <row r="281">
      <c r="A281" s="4" t="inlineStr">
        <is>
          <t>12</t>
        </is>
      </c>
      <c r="B281" s="4" t="inlineStr">
        <is>
          <t>HIKAWA GARDENS AKASAKA</t>
        </is>
      </c>
      <c r="C281" s="4" t="inlineStr">
        <is>
          <t>未確認</t>
        </is>
      </c>
      <c r="D281" s="4" t="inlineStr">
        <is>
          <t>赤坂氷川神社までの距離（出典値なし）</t>
        </is>
      </c>
      <c r="E281" s="4" t="n"/>
      <c r="F281" s="4" t="n"/>
      <c r="G281" s="4" t="n"/>
      <c r="H281" s="4" t="n"/>
      <c r="I281" s="4" t="inlineStr">
        <is>
          <t>未確認</t>
        </is>
      </c>
    </row>
    <row r="282">
      <c r="A282" s="4" t="inlineStr">
        <is>
          <t>12</t>
        </is>
      </c>
      <c r="B282" s="4" t="inlineStr">
        <is>
          <t>HIKAWA GARDENS AKASAKA</t>
        </is>
      </c>
      <c r="C282" s="4" t="inlineStr">
        <is>
          <t>未確認</t>
        </is>
      </c>
      <c r="D282" s="4" t="inlineStr">
        <is>
          <t>中学校学区・病院</t>
        </is>
      </c>
      <c r="E282" s="4" t="n"/>
      <c r="F282" s="4" t="n"/>
      <c r="G282" s="4" t="n"/>
      <c r="H282" s="4" t="n"/>
      <c r="I282" s="4" t="inlineStr">
        <is>
          <t>未確認</t>
        </is>
      </c>
    </row>
    <row r="283">
      <c r="A283" s="4" t="inlineStr">
        <is>
          <t>12</t>
        </is>
      </c>
      <c r="B283" s="4" t="inlineStr">
        <is>
          <t>HIKAWA GARDENS AKASAKA</t>
        </is>
      </c>
      <c r="C283" s="4" t="inlineStr">
        <is>
          <t>未確認</t>
        </is>
      </c>
      <c r="D283" s="4" t="inlineStr">
        <is>
          <t>耐震・天井高・二重床</t>
        </is>
      </c>
      <c r="E283" s="4" t="n"/>
      <c r="F283" s="4" t="n"/>
      <c r="G283" s="4" t="n"/>
      <c r="H283" s="4" t="n"/>
      <c r="I283" s="4" t="inlineStr">
        <is>
          <t>未確認</t>
        </is>
      </c>
    </row>
    <row r="284">
      <c r="A284" s="4" t="inlineStr">
        <is>
          <t>13</t>
        </is>
      </c>
      <c r="B284" s="4" t="inlineStr">
        <is>
          <t>虎ノ門ヒルズ レジデンシャルタワー</t>
        </is>
      </c>
      <c r="C284" s="4" t="inlineStr">
        <is>
          <t>食い違い</t>
        </is>
      </c>
      <c r="D284" s="4" t="inlineStr">
        <is>
          <t>制震構造</t>
        </is>
      </c>
      <c r="E284" s="4" t="inlineStr">
        <is>
          <t>制震構造（図面A-p20）</t>
        </is>
      </c>
      <c r="F284" s="4" t="inlineStr">
        <is>
          <t>AMD・粘性体制震壁・摩擦壁の3種の制振装置（MS記事・三井・KEN住戸）</t>
        </is>
      </c>
      <c r="G284" s="4" t="inlineStr">
        <is>
          <t>森ビル公式に構造形式の記載なし</t>
        </is>
      </c>
      <c r="H284" s="4" t="inlineStr">
        <is>
          <t>制震構造（図面）</t>
        </is>
      </c>
      <c r="I284" s="4" t="inlineStr">
        <is>
          <t>未確認</t>
        </is>
      </c>
    </row>
    <row r="285">
      <c r="A285" s="4" t="inlineStr">
        <is>
          <t>13</t>
        </is>
      </c>
      <c r="B285" s="4" t="inlineStr">
        <is>
          <t>虎ノ門ヒルズ レジデンシャルタワー</t>
        </is>
      </c>
      <c r="C285" s="4" t="inlineStr">
        <is>
          <t>食い違い</t>
        </is>
      </c>
      <c r="D285" s="4" t="inlineStr">
        <is>
          <t>敷地面積</t>
        </is>
      </c>
      <c r="E285" s="4" t="inlineStr">
        <is>
          <t>5,988.37㎡（図面・登記簿）</t>
        </is>
      </c>
      <c r="F285" s="4" t="inlineStr">
        <is>
          <t>約6,535㎡（森ビル竣工PR）</t>
        </is>
      </c>
      <c r="G285" s="4" t="inlineStr">
        <is>
          <t>差の理由未確認</t>
        </is>
      </c>
      <c r="H285" s="4" t="inlineStr">
        <is>
          <t>登記簿値＋公式値併記</t>
        </is>
      </c>
      <c r="I285" s="4" t="inlineStr">
        <is>
          <t>未確認</t>
        </is>
      </c>
    </row>
    <row r="286">
      <c r="A286" s="4" t="inlineStr">
        <is>
          <t>13</t>
        </is>
      </c>
      <c r="B286" s="4" t="inlineStr">
        <is>
          <t>虎ノ門ヒルズ レジデンシャルタワー</t>
        </is>
      </c>
      <c r="C286" s="4" t="inlineStr">
        <is>
          <t>食い違い</t>
        </is>
      </c>
      <c r="D286" s="4" t="inlineStr">
        <is>
          <t>構造</t>
        </is>
      </c>
      <c r="E286" s="4" t="inlineStr">
        <is>
          <t>鉄筋コンクリート造（図面）</t>
        </is>
      </c>
      <c r="F286" s="4" t="inlineStr">
        <is>
          <t>RC造（一部S造、SRC造）（森ビル竣工PR）</t>
        </is>
      </c>
      <c r="G286" s="4" t="inlineStr">
        <is>
          <t>公式で確認</t>
        </is>
      </c>
      <c r="H286" s="4" t="inlineStr">
        <is>
          <t>RC造（一部S・SRC造）</t>
        </is>
      </c>
      <c r="I286" s="4" t="inlineStr">
        <is>
          <t>解消</t>
        </is>
      </c>
    </row>
    <row r="287">
      <c r="A287" s="4" t="inlineStr">
        <is>
          <t>13</t>
        </is>
      </c>
      <c r="B287" s="4" t="inlineStr">
        <is>
          <t>虎ノ門ヒルズ レジデンシャルタワー</t>
        </is>
      </c>
      <c r="C287" s="4" t="inlineStr">
        <is>
          <t>食い違い</t>
        </is>
      </c>
      <c r="D287" s="4" t="inlineStr">
        <is>
          <t>総戸数とSA160戸</t>
        </is>
      </c>
      <c r="E287" s="4" t="inlineStr">
        <is>
          <t>547戸＋SA160戸と読める（森ビル竣工PR）</t>
        </is>
      </c>
      <c r="F287" s="4" t="inlineStr">
        <is>
          <t>547戸にSA160戸含む（TOKYO RENT）</t>
        </is>
      </c>
      <c r="G287" s="4" t="inlineStr">
        <is>
          <t>公式文面両義的</t>
        </is>
      </c>
      <c r="H287" s="4" t="inlineStr">
        <is>
          <t>547戸</t>
        </is>
      </c>
      <c r="I287" s="4" t="inlineStr">
        <is>
          <t>未確認</t>
        </is>
      </c>
    </row>
    <row r="288">
      <c r="A288" s="4" t="inlineStr">
        <is>
          <t>13</t>
        </is>
      </c>
      <c r="B288" s="4" t="inlineStr">
        <is>
          <t>虎ノ門ヒルズ レジデンシャルタワー</t>
        </is>
      </c>
      <c r="C288" s="4" t="inlineStr">
        <is>
          <t>食い違い</t>
        </is>
      </c>
      <c r="D288" s="4" t="inlineStr">
        <is>
          <t>管理員勤務形態</t>
        </is>
      </c>
      <c r="E288" s="4" t="inlineStr">
        <is>
          <t>常勤（図面・KEN）</t>
        </is>
      </c>
      <c r="F288" s="4" t="inlineStr">
        <is>
          <t>日勤（MR・mitaina）／通勤（SUUMO）</t>
        </is>
      </c>
      <c r="G288" s="4" t="inlineStr">
        <is>
          <t>未確認</t>
        </is>
      </c>
      <c r="H288" s="4" t="inlineStr">
        <is>
          <t>常勤（図面）</t>
        </is>
      </c>
      <c r="I288" s="4" t="inlineStr">
        <is>
          <t>未確認</t>
        </is>
      </c>
    </row>
    <row r="289">
      <c r="A289" s="4" t="inlineStr">
        <is>
          <t>13</t>
        </is>
      </c>
      <c r="B289" s="4" t="inlineStr">
        <is>
          <t>虎ノ門ヒルズ レジデンシャルタワー</t>
        </is>
      </c>
      <c r="C289" s="4" t="inlineStr">
        <is>
          <t>食い違い</t>
        </is>
      </c>
      <c r="D289" s="4" t="inlineStr">
        <is>
          <t>用途地域</t>
        </is>
      </c>
      <c r="E289" s="4" t="inlineStr">
        <is>
          <t>商業地域（図面）</t>
        </is>
      </c>
      <c r="F289" s="4" t="inlineStr">
        <is>
          <t>商業・第二種住居（MR・mitaina・SUUMO）</t>
        </is>
      </c>
      <c r="G289" s="4" t="inlineStr">
        <is>
          <t>港区都市計画図未確認</t>
        </is>
      </c>
      <c r="H289" s="4" t="inlineStr">
        <is>
          <t>商業地域（図面）</t>
        </is>
      </c>
      <c r="I289" s="4" t="inlineStr">
        <is>
          <t>未確認</t>
        </is>
      </c>
    </row>
    <row r="290">
      <c r="A290" s="4" t="inlineStr">
        <is>
          <t>13</t>
        </is>
      </c>
      <c r="B290" s="4" t="inlineStr">
        <is>
          <t>虎ノ門ヒルズ レジデンシャルタワー</t>
        </is>
      </c>
      <c r="C290" s="4" t="inlineStr">
        <is>
          <t>食い違い</t>
        </is>
      </c>
      <c r="D290" s="4" t="inlineStr">
        <is>
          <t>駐車場（図面空欄）</t>
        </is>
      </c>
      <c r="E290" s="4" t="inlineStr">
        <is>
          <t>図面空欄</t>
        </is>
      </c>
      <c r="F290" s="4" t="inlineStr">
        <is>
          <t>自走81・機械200・時間貸15（MS記事）／機械200・自走82（MR）</t>
        </is>
      </c>
      <c r="G290" s="4" t="inlineStr">
        <is>
          <t>空き・料金未確認</t>
        </is>
      </c>
      <c r="H290" s="4" t="inlineStr">
        <is>
          <t>駐車場あり（空き要確認）</t>
        </is>
      </c>
      <c r="I290" s="4" t="inlineStr">
        <is>
          <t>未確認</t>
        </is>
      </c>
    </row>
    <row r="291">
      <c r="A291" s="4" t="inlineStr">
        <is>
          <t>13</t>
        </is>
      </c>
      <c r="B291" s="4" t="inlineStr">
        <is>
          <t>虎ノ門ヒルズ レジデンシャルタワー</t>
        </is>
      </c>
      <c r="C291" s="4" t="inlineStr">
        <is>
          <t>食い違い</t>
        </is>
      </c>
      <c r="D291" s="4" t="inlineStr">
        <is>
          <t>トランクルーム（図面空欄）</t>
        </is>
      </c>
      <c r="E291" s="4" t="inlineStr">
        <is>
          <t>図面空欄</t>
        </is>
      </c>
      <c r="F291" s="4" t="inlineStr">
        <is>
          <t>15区画1.90〜3.99㎡（MR）</t>
        </is>
      </c>
      <c r="G291" s="4" t="inlineStr">
        <is>
          <t>本住戸の付帯未確認</t>
        </is>
      </c>
      <c r="H291" s="4" t="inlineStr">
        <is>
          <t>付帯なし扱い・要確認</t>
        </is>
      </c>
      <c r="I291" s="4" t="inlineStr">
        <is>
          <t>未確認</t>
        </is>
      </c>
    </row>
    <row r="292">
      <c r="A292" s="4" t="inlineStr">
        <is>
          <t>13</t>
        </is>
      </c>
      <c r="B292" s="4" t="inlineStr">
        <is>
          <t>虎ノ門ヒルズ レジデンシャルタワー</t>
        </is>
      </c>
      <c r="C292" s="4" t="inlineStr">
        <is>
          <t>食い違い</t>
        </is>
      </c>
      <c r="D292" s="4" t="inlineStr">
        <is>
          <t>日本料理店の所在</t>
        </is>
      </c>
      <c r="E292" s="4" t="inlineStr">
        <is>
          <t>店舗棟：1階（図面）</t>
        </is>
      </c>
      <c r="F292" s="4" t="inlineStr">
        <is>
          <t>レジデンシャルタワー内に併設（森ビル竣工PR、店名かんだ）</t>
        </is>
      </c>
      <c r="G292" s="4" t="inlineStr">
        <is>
          <t>階・棟の別未確認</t>
        </is>
      </c>
      <c r="H292" s="4" t="inlineStr">
        <is>
          <t>建物内に日本料理店等を併設</t>
        </is>
      </c>
      <c r="I292" s="4" t="inlineStr">
        <is>
          <t>未確認</t>
        </is>
      </c>
    </row>
    <row r="293">
      <c r="A293" s="4" t="inlineStr">
        <is>
          <t>13</t>
        </is>
      </c>
      <c r="B293" s="4" t="inlineStr">
        <is>
          <t>虎ノ門ヒルズ レジデンシャルタワー</t>
        </is>
      </c>
      <c r="C293" s="4" t="inlineStr">
        <is>
          <t>食い違い</t>
        </is>
      </c>
      <c r="D293" s="4" t="inlineStr">
        <is>
          <t>ゲストルーム41階・スパ2・3階</t>
        </is>
      </c>
      <c r="E293" s="4" t="inlineStr">
        <is>
          <t>図面</t>
        </is>
      </c>
      <c r="F293" s="4" t="inlineStr">
        <is>
          <t>森ビル竣工PR</t>
        </is>
      </c>
      <c r="G293" s="4" t="inlineStr">
        <is>
          <t>一致</t>
        </is>
      </c>
      <c r="H293" s="4" t="inlineStr">
        <is>
          <t>41階／2・3階（スパは会員制）</t>
        </is>
      </c>
      <c r="I293" s="4" t="inlineStr">
        <is>
          <t>解消</t>
        </is>
      </c>
    </row>
    <row r="294">
      <c r="A294" s="4" t="inlineStr">
        <is>
          <t>13</t>
        </is>
      </c>
      <c r="B294" s="4" t="inlineStr">
        <is>
          <t>虎ノ門ヒルズ レジデンシャルタワー</t>
        </is>
      </c>
      <c r="C294" s="4" t="inlineStr">
        <is>
          <t>食い違い</t>
        </is>
      </c>
      <c r="D294" s="4" t="inlineStr">
        <is>
          <t>英字表記</t>
        </is>
      </c>
      <c r="E294" s="4" t="inlineStr">
        <is>
          <t>TORANOMON HILLS RESIDENTIAL TOWER（KEN）</t>
        </is>
      </c>
      <c r="F294" s="4" t="inlineStr">
        <is>
          <t>Toranomon Hills Residential Tower（森ビル）</t>
        </is>
      </c>
      <c r="G294" s="4" t="inlineStr">
        <is>
          <t>大小文字のみ差</t>
        </is>
      </c>
      <c r="H294" s="4" t="inlineStr">
        <is>
          <t>Toranomon Hills Residential Tower</t>
        </is>
      </c>
      <c r="I294" s="4" t="inlineStr">
        <is>
          <t>解消</t>
        </is>
      </c>
    </row>
    <row r="295">
      <c r="A295" s="4" t="inlineStr">
        <is>
          <t>13</t>
        </is>
      </c>
      <c r="B295" s="4" t="inlineStr">
        <is>
          <t>虎ノ門ヒルズ レジデンシャルタワー</t>
        </is>
      </c>
      <c r="C295" s="4" t="inlineStr">
        <is>
          <t>食い違い</t>
        </is>
      </c>
      <c r="D295" s="4" t="inlineStr">
        <is>
          <t>学区</t>
        </is>
      </c>
      <c r="E295" s="4" t="inlineStr">
        <is>
          <t>御成門小（KEN）</t>
        </is>
      </c>
      <c r="F295" s="4" t="inlineStr">
        <is>
          <t>中央区立泰明小（SUUMOライブラリー）</t>
        </is>
      </c>
      <c r="G295" s="4" t="inlineStr">
        <is>
          <t>未確認</t>
        </is>
      </c>
      <c r="H295" s="4" t="inlineStr">
        <is>
          <t>御成門小学校（要確認）</t>
        </is>
      </c>
      <c r="I295" s="4" t="inlineStr">
        <is>
          <t>未確認</t>
        </is>
      </c>
    </row>
    <row r="296">
      <c r="A296" s="4" t="inlineStr">
        <is>
          <t>13</t>
        </is>
      </c>
      <c r="B296" s="4" t="inlineStr">
        <is>
          <t>虎ノ門ヒルズ レジデンシャルタワー</t>
        </is>
      </c>
      <c r="C296" s="4" t="inlineStr">
        <is>
          <t>食い違い</t>
        </is>
      </c>
      <c r="D296" s="4" t="inlineStr">
        <is>
          <t>虎ノ門駅徒歩</t>
        </is>
      </c>
      <c r="E296" s="4" t="inlineStr">
        <is>
          <t>6分（図面・KEN）</t>
        </is>
      </c>
      <c r="F296" s="4" t="inlineStr">
        <is>
          <t>5分（リハウス）</t>
        </is>
      </c>
      <c r="G296" s="4" t="inlineStr">
        <is>
          <t>—</t>
        </is>
      </c>
      <c r="H296" s="4" t="inlineStr">
        <is>
          <t>6分</t>
        </is>
      </c>
      <c r="I296" s="4" t="inlineStr">
        <is>
          <t>解消</t>
        </is>
      </c>
    </row>
    <row r="297">
      <c r="A297" s="4" t="inlineStr">
        <is>
          <t>13</t>
        </is>
      </c>
      <c r="B297" s="4" t="inlineStr">
        <is>
          <t>虎ノ門ヒルズ レジデンシャルタワー</t>
        </is>
      </c>
      <c r="C297" s="4" t="inlineStr">
        <is>
          <t>未確認</t>
        </is>
      </c>
      <c r="D297" s="4" t="inlineStr">
        <is>
          <t>虎ノ門ヒルズスパの会員条件・費用</t>
        </is>
      </c>
      <c r="E297" s="4" t="n"/>
      <c r="F297" s="4" t="n"/>
      <c r="G297" s="4" t="n"/>
      <c r="H297" s="4" t="n"/>
      <c r="I297" s="4" t="inlineStr">
        <is>
          <t>未確認</t>
        </is>
      </c>
    </row>
    <row r="298">
      <c r="A298" s="4" t="inlineStr">
        <is>
          <t>13</t>
        </is>
      </c>
      <c r="B298" s="4" t="inlineStr">
        <is>
          <t>虎ノ門ヒルズ レジデンシャルタワー</t>
        </is>
      </c>
      <c r="C298" s="4" t="inlineStr">
        <is>
          <t>未確認</t>
        </is>
      </c>
      <c r="D298" s="4" t="inlineStr">
        <is>
          <t>4重セキュリティの内容</t>
        </is>
      </c>
      <c r="E298" s="4" t="n"/>
      <c r="F298" s="4" t="n"/>
      <c r="G298" s="4" t="n"/>
      <c r="H298" s="4" t="n"/>
      <c r="I298" s="4" t="inlineStr">
        <is>
          <t>未確認</t>
        </is>
      </c>
    </row>
    <row r="299">
      <c r="A299" s="4" t="inlineStr">
        <is>
          <t>13</t>
        </is>
      </c>
      <c r="B299" s="4" t="inlineStr">
        <is>
          <t>虎ノ門ヒルズ レジデンシャルタワー</t>
        </is>
      </c>
      <c r="C299" s="4" t="inlineStr">
        <is>
          <t>未確認</t>
        </is>
      </c>
      <c r="D299" s="4" t="inlineStr">
        <is>
          <t>制震装置の一次資料</t>
        </is>
      </c>
      <c r="E299" s="4" t="n"/>
      <c r="F299" s="4" t="n"/>
      <c r="G299" s="4" t="n"/>
      <c r="H299" s="4" t="n"/>
      <c r="I299" s="4" t="inlineStr">
        <is>
          <t>未確認</t>
        </is>
      </c>
    </row>
    <row r="300">
      <c r="A300" s="4" t="inlineStr">
        <is>
          <t>13</t>
        </is>
      </c>
      <c r="B300" s="4" t="inlineStr">
        <is>
          <t>虎ノ門ヒルズ レジデンシャルタワー</t>
        </is>
      </c>
      <c r="C300" s="4" t="inlineStr">
        <is>
          <t>未確認</t>
        </is>
      </c>
      <c r="D300" s="4" t="inlineStr">
        <is>
          <t>駐車場の空き・料金</t>
        </is>
      </c>
      <c r="E300" s="4" t="n"/>
      <c r="F300" s="4" t="n"/>
      <c r="G300" s="4" t="n"/>
      <c r="H300" s="4" t="n"/>
      <c r="I300" s="4" t="inlineStr">
        <is>
          <t>未確認</t>
        </is>
      </c>
    </row>
    <row r="301">
      <c r="A301" s="4" t="inlineStr">
        <is>
          <t>13</t>
        </is>
      </c>
      <c r="B301" s="4" t="inlineStr">
        <is>
          <t>虎ノ門ヒルズ レジデンシャルタワー</t>
        </is>
      </c>
      <c r="C301" s="4" t="inlineStr">
        <is>
          <t>未確認</t>
        </is>
      </c>
      <c r="D301" s="4" t="inlineStr">
        <is>
          <t>トランクルーム</t>
        </is>
      </c>
      <c r="E301" s="4" t="n"/>
      <c r="F301" s="4" t="n"/>
      <c r="G301" s="4" t="n"/>
      <c r="H301" s="4" t="n"/>
      <c r="I301" s="4" t="inlineStr">
        <is>
          <t>未確認</t>
        </is>
      </c>
    </row>
    <row r="302">
      <c r="A302" s="4" t="inlineStr">
        <is>
          <t>13</t>
        </is>
      </c>
      <c r="B302" s="4" t="inlineStr">
        <is>
          <t>虎ノ門ヒルズ レジデンシャルタワー</t>
        </is>
      </c>
      <c r="C302" s="4" t="inlineStr">
        <is>
          <t>未確認</t>
        </is>
      </c>
      <c r="D302" s="4" t="inlineStr">
        <is>
          <t>大規模修繕</t>
        </is>
      </c>
      <c r="E302" s="4" t="n"/>
      <c r="F302" s="4" t="n"/>
      <c r="G302" s="4" t="n"/>
      <c r="H302" s="4" t="n"/>
      <c r="I302" s="4" t="inlineStr">
        <is>
          <t>未確認</t>
        </is>
      </c>
    </row>
    <row r="303">
      <c r="A303" s="4" t="inlineStr">
        <is>
          <t>13</t>
        </is>
      </c>
      <c r="B303" s="4" t="inlineStr">
        <is>
          <t>虎ノ門ヒルズ レジデンシャルタワー</t>
        </is>
      </c>
      <c r="C303" s="4" t="inlineStr">
        <is>
          <t>未確認</t>
        </is>
      </c>
      <c r="D303" s="4" t="inlineStr">
        <is>
          <t>ペット細則内容</t>
        </is>
      </c>
      <c r="E303" s="4" t="n"/>
      <c r="F303" s="4" t="n"/>
      <c r="G303" s="4" t="n"/>
      <c r="H303" s="4" t="n"/>
      <c r="I303" s="4" t="inlineStr">
        <is>
          <t>未確認</t>
        </is>
      </c>
    </row>
    <row r="304">
      <c r="A304" s="4" t="inlineStr">
        <is>
          <t>13</t>
        </is>
      </c>
      <c r="B304" s="4" t="inlineStr">
        <is>
          <t>虎ノ門ヒルズ レジデンシャルタワー</t>
        </is>
      </c>
      <c r="C304" s="4" t="inlineStr">
        <is>
          <t>未確認</t>
        </is>
      </c>
      <c r="D304" s="4" t="inlineStr">
        <is>
          <t>管理員勤務形態</t>
        </is>
      </c>
      <c r="E304" s="4" t="n"/>
      <c r="F304" s="4" t="n"/>
      <c r="G304" s="4" t="n"/>
      <c r="H304" s="4" t="n"/>
      <c r="I304" s="4" t="inlineStr">
        <is>
          <t>未確認</t>
        </is>
      </c>
    </row>
    <row r="305">
      <c r="A305" s="4" t="inlineStr">
        <is>
          <t>13</t>
        </is>
      </c>
      <c r="B305" s="4" t="inlineStr">
        <is>
          <t>虎ノ門ヒルズ レジデンシャルタワー</t>
        </is>
      </c>
      <c r="C305" s="4" t="inlineStr">
        <is>
          <t>未確認</t>
        </is>
      </c>
      <c r="D305" s="4" t="inlineStr">
        <is>
          <t>用途地域（第二種住居の有無）</t>
        </is>
      </c>
      <c r="E305" s="4" t="n"/>
      <c r="F305" s="4" t="n"/>
      <c r="G305" s="4" t="n"/>
      <c r="H305" s="4" t="n"/>
      <c r="I305" s="4" t="inlineStr">
        <is>
          <t>未確認</t>
        </is>
      </c>
    </row>
    <row r="306">
      <c r="A306" s="4" t="inlineStr">
        <is>
          <t>13</t>
        </is>
      </c>
      <c r="B306" s="4" t="inlineStr">
        <is>
          <t>虎ノ門ヒルズ レジデンシャルタワー</t>
        </is>
      </c>
      <c r="C306" s="4" t="inlineStr">
        <is>
          <t>未確認</t>
        </is>
      </c>
      <c r="D306" s="4" t="inlineStr">
        <is>
          <t>総戸数とSA160戸の関係</t>
        </is>
      </c>
      <c r="E306" s="4" t="n"/>
      <c r="F306" s="4" t="n"/>
      <c r="G306" s="4" t="n"/>
      <c r="H306" s="4" t="n"/>
      <c r="I306" s="4" t="inlineStr">
        <is>
          <t>未確認</t>
        </is>
      </c>
    </row>
    <row r="307">
      <c r="A307" s="4" t="inlineStr">
        <is>
          <t>13</t>
        </is>
      </c>
      <c r="B307" s="4" t="inlineStr">
        <is>
          <t>虎ノ門ヒルズ レジデンシャルタワー</t>
        </is>
      </c>
      <c r="C307" s="4" t="inlineStr">
        <is>
          <t>未確認</t>
        </is>
      </c>
      <c r="D307" s="4" t="inlineStr">
        <is>
          <t>日本料理店の所在階・棟</t>
        </is>
      </c>
      <c r="E307" s="4" t="n"/>
      <c r="F307" s="4" t="n"/>
      <c r="G307" s="4" t="n"/>
      <c r="H307" s="4" t="n"/>
      <c r="I307" s="4" t="inlineStr">
        <is>
          <t>未確認</t>
        </is>
      </c>
    </row>
    <row r="308">
      <c r="A308" s="4" t="inlineStr">
        <is>
          <t>13</t>
        </is>
      </c>
      <c r="B308" s="4" t="inlineStr">
        <is>
          <t>虎ノ門ヒルズ レジデンシャルタワー</t>
        </is>
      </c>
      <c r="C308" s="4" t="inlineStr">
        <is>
          <t>未確認</t>
        </is>
      </c>
      <c r="D308" s="4" t="inlineStr">
        <is>
          <t>ハザード（洪水深の公式確認・内水・液状化・津波）</t>
        </is>
      </c>
      <c r="E308" s="4" t="n"/>
      <c r="F308" s="4" t="n"/>
      <c r="G308" s="4" t="n"/>
      <c r="H308" s="4" t="n"/>
      <c r="I308" s="4" t="inlineStr">
        <is>
          <t>未確認</t>
        </is>
      </c>
    </row>
    <row r="309">
      <c r="A309" s="4" t="inlineStr">
        <is>
          <t>13</t>
        </is>
      </c>
      <c r="B309" s="4" t="inlineStr">
        <is>
          <t>虎ノ門ヒルズ レジデンシャルタワー</t>
        </is>
      </c>
      <c r="C309" s="4" t="inlineStr">
        <is>
          <t>未確認</t>
        </is>
      </c>
      <c r="D309" s="4" t="inlineStr">
        <is>
          <t>学区</t>
        </is>
      </c>
      <c r="E309" s="4" t="n"/>
      <c r="F309" s="4" t="n"/>
      <c r="G309" s="4" t="n"/>
      <c r="H309" s="4" t="n"/>
      <c r="I309" s="4" t="inlineStr">
        <is>
          <t>未確認</t>
        </is>
      </c>
    </row>
    <row r="310">
      <c r="A310" s="4" t="inlineStr">
        <is>
          <t>13</t>
        </is>
      </c>
      <c r="B310" s="4" t="inlineStr">
        <is>
          <t>虎ノ門ヒルズ レジデンシャルタワー</t>
        </is>
      </c>
      <c r="C310" s="4" t="inlineStr">
        <is>
          <t>未確認</t>
        </is>
      </c>
      <c r="D310" s="4" t="inlineStr">
        <is>
          <t>二重床・二重天井</t>
        </is>
      </c>
      <c r="E310" s="4" t="n"/>
      <c r="F310" s="4" t="n"/>
      <c r="G310" s="4" t="n"/>
      <c r="H310" s="4" t="n"/>
      <c r="I310" s="4" t="inlineStr">
        <is>
          <t>未確認</t>
        </is>
      </c>
    </row>
    <row r="311">
      <c r="A311" s="4" t="inlineStr">
        <is>
          <t>13</t>
        </is>
      </c>
      <c r="B311" s="4" t="inlineStr">
        <is>
          <t>虎ノ門ヒルズ レジデンシャルタワー</t>
        </is>
      </c>
      <c r="C311" s="4" t="inlineStr">
        <is>
          <t>未確認</t>
        </is>
      </c>
      <c r="D311" s="4" t="inlineStr">
        <is>
          <t>29階の天井高</t>
        </is>
      </c>
      <c r="E311" s="4" t="n"/>
      <c r="F311" s="4" t="n"/>
      <c r="G311" s="4" t="n"/>
      <c r="H311" s="4" t="n"/>
      <c r="I311" s="4" t="inlineStr">
        <is>
          <t>未確認</t>
        </is>
      </c>
    </row>
    <row r="312">
      <c r="A312" s="4" t="inlineStr">
        <is>
          <t>13</t>
        </is>
      </c>
      <c r="B312" s="4" t="inlineStr">
        <is>
          <t>虎ノ門ヒルズ レジデンシャルタワー</t>
        </is>
      </c>
      <c r="C312" s="4" t="inlineStr">
        <is>
          <t>未確認</t>
        </is>
      </c>
      <c r="D312" s="4" t="inlineStr">
        <is>
          <t>室内設備メーカー</t>
        </is>
      </c>
      <c r="E312" s="4" t="n"/>
      <c r="F312" s="4" t="n"/>
      <c r="G312" s="4" t="n"/>
      <c r="H312" s="4" t="n"/>
      <c r="I312" s="4" t="inlineStr">
        <is>
          <t>未確認</t>
        </is>
      </c>
    </row>
    <row r="313">
      <c r="A313" s="4" t="inlineStr">
        <is>
          <t>13</t>
        </is>
      </c>
      <c r="B313" s="4" t="inlineStr">
        <is>
          <t>虎ノ門ヒルズ レジデンシャルタワー</t>
        </is>
      </c>
      <c r="C313" s="4" t="inlineStr">
        <is>
          <t>未確認</t>
        </is>
      </c>
      <c r="D313" s="4" t="inlineStr">
        <is>
          <t>リフォーム履歴</t>
        </is>
      </c>
      <c r="E313" s="4" t="n"/>
      <c r="F313" s="4" t="n"/>
      <c r="G313" s="4" t="n"/>
      <c r="H313" s="4" t="n"/>
      <c r="I313" s="4" t="inlineStr">
        <is>
          <t>未確認</t>
        </is>
      </c>
    </row>
    <row r="314">
      <c r="A314" s="4" t="inlineStr">
        <is>
          <t>14</t>
        </is>
      </c>
      <c r="B314" s="4" t="inlineStr">
        <is>
          <t>リビオタワー品川</t>
        </is>
      </c>
      <c r="C314" s="4" t="inlineStr">
        <is>
          <t>食い違い</t>
        </is>
      </c>
      <c r="D314" s="4" t="inlineStr">
        <is>
          <t>竣工年月</t>
        </is>
      </c>
      <c r="E314" s="4" t="inlineStr">
        <is>
          <t>2026年5月竣工予定（図面B-p01・元付HP・公式物件概要）</t>
        </is>
      </c>
      <c r="F314" s="4" t="inlineStr">
        <is>
          <t>2026年5月11日竣工（SUUMO売主広告2026/09/25・skyskysky）、竣工済み（マンションレビュー）</t>
        </is>
      </c>
      <c r="G314" s="4" t="inlineStr">
        <is>
          <t>竣工済みと判断。公式サイト概要は未更新</t>
        </is>
      </c>
      <c r="H314" s="4" t="inlineStr">
        <is>
          <t>2026年5月11日竣工（2026年5月築）</t>
        </is>
      </c>
      <c r="I314" s="4" t="inlineStr">
        <is>
          <t>解消</t>
        </is>
      </c>
    </row>
    <row r="315">
      <c r="A315" s="4" t="inlineStr">
        <is>
          <t>14</t>
        </is>
      </c>
      <c r="B315" s="4" t="inlineStr">
        <is>
          <t>リビオタワー品川</t>
        </is>
      </c>
      <c r="C315" s="4" t="inlineStr">
        <is>
          <t>食い違い</t>
        </is>
      </c>
      <c r="D315" s="4" t="inlineStr">
        <is>
          <t>引渡開始</t>
        </is>
      </c>
      <c r="E315" s="4" t="inlineStr">
        <is>
          <t>2026年10月上旬予定（公式・プレスリリース・契約者向け資料集）</t>
        </is>
      </c>
      <c r="F315" s="4" t="inlineStr">
        <is>
          <t>先着順住戸は2027年4月上旬予定（SUUMO）、本住戸は相談（2026年10月以降・元付HP）</t>
        </is>
      </c>
      <c r="G315" s="4" t="inlineStr">
        <is>
          <t>2026-09-27時点で引渡実績は未確認</t>
        </is>
      </c>
      <c r="H315" s="4" t="inlineStr">
        <is>
          <t>2026年10月上旬予定／本住戸は相談</t>
        </is>
      </c>
      <c r="I315" s="4" t="inlineStr">
        <is>
          <t>未確認</t>
        </is>
      </c>
    </row>
    <row r="316">
      <c r="A316" s="4" t="inlineStr">
        <is>
          <t>14</t>
        </is>
      </c>
      <c r="B316" s="4" t="inlineStr">
        <is>
          <t>リビオタワー品川</t>
        </is>
      </c>
      <c r="C316" s="4" t="inlineStr">
        <is>
          <t>食い違い</t>
        </is>
      </c>
      <c r="D316" s="4" t="inlineStr">
        <is>
          <t>価格</t>
        </is>
      </c>
      <c r="E316" s="4" t="inlineStr">
        <is>
          <t>63,500万円（図面B-p01）</t>
        </is>
      </c>
      <c r="F316" s="4" t="inlineStr">
        <is>
          <t>68,000万円（元付HP）</t>
        </is>
      </c>
      <c r="G316" s="4" t="inlineStr">
        <is>
          <t>公式なし</t>
        </is>
      </c>
      <c r="H316" s="4" t="inlineStr">
        <is>
          <t>63,500万円（依頼者指示）要確認</t>
        </is>
      </c>
      <c r="I316" s="4" t="inlineStr">
        <is>
          <t>未確認</t>
        </is>
      </c>
    </row>
    <row r="317">
      <c r="A317" s="4" t="inlineStr">
        <is>
          <t>14</t>
        </is>
      </c>
      <c r="B317" s="4" t="inlineStr">
        <is>
          <t>リビオタワー品川</t>
        </is>
      </c>
      <c r="C317" s="4" t="inlineStr">
        <is>
          <t>食い違い</t>
        </is>
      </c>
      <c r="D317" s="4" t="inlineStr">
        <is>
          <t>取引態様</t>
        </is>
      </c>
      <c r="E317" s="4" t="inlineStr">
        <is>
          <t>売主代理 手数料1.5%（図面）</t>
        </is>
      </c>
      <c r="F317" s="4" t="inlineStr">
        <is>
          <t>仲介（元付HP）</t>
        </is>
      </c>
      <c r="G317" s="4" t="inlineStr">
        <is>
          <t>未確認</t>
        </is>
      </c>
      <c r="H317" s="4" t="inlineStr">
        <is>
          <t>図面</t>
        </is>
      </c>
      <c r="I317" s="4" t="inlineStr">
        <is>
          <t>未確認</t>
        </is>
      </c>
    </row>
    <row r="318">
      <c r="A318" s="4" t="inlineStr">
        <is>
          <t>14</t>
        </is>
      </c>
      <c r="B318" s="4" t="inlineStr">
        <is>
          <t>リビオタワー品川</t>
        </is>
      </c>
      <c r="C318" s="4" t="inlineStr">
        <is>
          <t>食い違い</t>
        </is>
      </c>
      <c r="D318" s="4" t="inlineStr">
        <is>
          <t>その他費用</t>
        </is>
      </c>
      <c r="E318" s="4" t="inlineStr">
        <is>
          <t>10,648円（図面）</t>
        </is>
      </c>
      <c r="F318" s="4" t="inlineStr">
        <is>
          <t>10,450円＝トランクルーム5,840＋ネット2,288＋シャトルバス2,322（管理規約附表）</t>
        </is>
      </c>
      <c r="G318" s="4" t="inlineStr">
        <is>
          <t>差198円の理由不明</t>
        </is>
      </c>
      <c r="H318" s="4" t="inlineStr">
        <is>
          <t>10,648円（内訳要確認）</t>
        </is>
      </c>
      <c r="I318" s="4" t="inlineStr">
        <is>
          <t>未確認</t>
        </is>
      </c>
    </row>
    <row r="319">
      <c r="A319" s="4" t="inlineStr">
        <is>
          <t>14</t>
        </is>
      </c>
      <c r="B319" s="4" t="inlineStr">
        <is>
          <t>リビオタワー品川</t>
        </is>
      </c>
      <c r="C319" s="4" t="inlineStr">
        <is>
          <t>食い違い</t>
        </is>
      </c>
      <c r="D319" s="4" t="inlineStr">
        <is>
          <t>住居表示</t>
        </is>
      </c>
      <c r="E319" s="4" t="inlineStr">
        <is>
          <t>港南三丁目7番2（図面、地番）</t>
        </is>
      </c>
      <c r="F319" s="4" t="inlineStr">
        <is>
          <t>港南3丁目4（住居表示・skyskysky）</t>
        </is>
      </c>
      <c r="G319" s="4" t="inlineStr">
        <is>
          <t>公式は地番のみ記載</t>
        </is>
      </c>
      <c r="H319" s="4" t="inlineStr">
        <is>
          <t>地番表記。住居表示は未確認</t>
        </is>
      </c>
      <c r="I319" s="4" t="inlineStr">
        <is>
          <t>未確認</t>
        </is>
      </c>
    </row>
    <row r="320">
      <c r="A320" s="4" t="inlineStr">
        <is>
          <t>14</t>
        </is>
      </c>
      <c r="B320" s="4" t="inlineStr">
        <is>
          <t>リビオタワー品川</t>
        </is>
      </c>
      <c r="C320" s="4" t="inlineStr">
        <is>
          <t>食い違い</t>
        </is>
      </c>
      <c r="D320" s="4" t="inlineStr">
        <is>
          <t>管理会社</t>
        </is>
      </c>
      <c r="E320" s="4" t="inlineStr">
        <is>
          <t>日鉄コミュニティ（図面）</t>
        </is>
      </c>
      <c r="F320" s="4" t="inlineStr">
        <is>
          <t>日鉄興和不動産コミュニティ（マンションレビュー）</t>
        </is>
      </c>
      <c r="G320" s="4" t="inlineStr">
        <is>
          <t>2026年1月5日商号変更</t>
        </is>
      </c>
      <c r="H320" s="4" t="inlineStr">
        <is>
          <t>日鉄興和不動産コミュニティ株式会社</t>
        </is>
      </c>
      <c r="I320" s="4" t="inlineStr">
        <is>
          <t>解消</t>
        </is>
      </c>
    </row>
    <row r="321">
      <c r="A321" s="4" t="inlineStr">
        <is>
          <t>14</t>
        </is>
      </c>
      <c r="B321" s="4" t="inlineStr">
        <is>
          <t>リビオタワー品川</t>
        </is>
      </c>
      <c r="C321" s="4" t="inlineStr">
        <is>
          <t>食い違い</t>
        </is>
      </c>
      <c r="D321" s="4" t="inlineStr">
        <is>
          <t>売主</t>
        </is>
      </c>
      <c r="E321" s="4" t="inlineStr">
        <is>
          <t>日鉄興和不動産（元付HP）</t>
        </is>
      </c>
      <c r="F321" s="4" t="inlineStr">
        <is>
          <t>5社JV（公式）</t>
        </is>
      </c>
      <c r="G321" s="4" t="inlineStr">
        <is>
          <t>分譲時は5社。現売主は未確認</t>
        </is>
      </c>
      <c r="H321" s="4" t="inlineStr">
        <is>
          <t>5社併記</t>
        </is>
      </c>
      <c r="I321" s="4" t="inlineStr">
        <is>
          <t>未確認</t>
        </is>
      </c>
    </row>
    <row r="322">
      <c r="A322" s="4" t="inlineStr">
        <is>
          <t>14</t>
        </is>
      </c>
      <c r="B322" s="4" t="inlineStr">
        <is>
          <t>リビオタワー品川</t>
        </is>
      </c>
      <c r="C322" s="4" t="inlineStr">
        <is>
          <t>食い違い</t>
        </is>
      </c>
      <c r="D322" s="4" t="inlineStr">
        <is>
          <t>免震・二重床・内廊下</t>
        </is>
      </c>
      <c r="E322" s="4" t="inlineStr">
        <is>
          <t>免震（公式トップ）</t>
        </is>
      </c>
      <c r="F322" s="4" t="inlineStr">
        <is>
          <t>設計住宅性能評価書で免震建築物、図面集注記で二重床・二重天井、LIV・公式で内廊下</t>
        </is>
      </c>
      <c r="G322" s="4" t="inlineStr">
        <is>
          <t>確認</t>
        </is>
      </c>
      <c r="H322" s="4" t="inlineStr">
        <is>
          <t>免震・二重床・内廊下</t>
        </is>
      </c>
      <c r="I322" s="4" t="inlineStr">
        <is>
          <t>解消</t>
        </is>
      </c>
    </row>
    <row r="323">
      <c r="A323" s="4" t="inlineStr">
        <is>
          <t>14</t>
        </is>
      </c>
      <c r="B323" s="4" t="inlineStr">
        <is>
          <t>リビオタワー品川</t>
        </is>
      </c>
      <c r="C323" s="4" t="inlineStr">
        <is>
          <t>食い違い</t>
        </is>
      </c>
      <c r="D323" s="4" t="inlineStr">
        <is>
          <t>構造</t>
        </is>
      </c>
      <c r="E323" s="4" t="inlineStr">
        <is>
          <t>RC造（公式・性能評価書）</t>
        </is>
      </c>
      <c r="F323" s="4" t="inlineStr">
        <is>
          <t>SRC造（恵比寿不動産）</t>
        </is>
      </c>
      <c r="G323" s="4" t="inlineStr">
        <is>
          <t>公式はRC</t>
        </is>
      </c>
      <c r="H323" s="4" t="inlineStr">
        <is>
          <t>RC造</t>
        </is>
      </c>
      <c r="I323" s="4" t="inlineStr">
        <is>
          <t>解消</t>
        </is>
      </c>
    </row>
    <row r="324">
      <c r="A324" s="4" t="inlineStr">
        <is>
          <t>14</t>
        </is>
      </c>
      <c r="B324" s="4" t="inlineStr">
        <is>
          <t>リビオタワー品川</t>
        </is>
      </c>
      <c r="C324" s="4" t="inlineStr">
        <is>
          <t>食い違い</t>
        </is>
      </c>
      <c r="D324" s="4" t="inlineStr">
        <is>
          <t>現況</t>
        </is>
      </c>
      <c r="E324" s="4" t="inlineStr">
        <is>
          <t>未入居（図面）</t>
        </is>
      </c>
      <c r="F324" s="4" t="inlineStr">
        <is>
          <t>空室（元付HP）</t>
        </is>
      </c>
      <c r="G324" s="4" t="inlineStr">
        <is>
          <t>新築未入居</t>
        </is>
      </c>
      <c r="H324" s="4" t="inlineStr">
        <is>
          <t>未入居</t>
        </is>
      </c>
      <c r="I324" s="4" t="inlineStr">
        <is>
          <t>解消</t>
        </is>
      </c>
    </row>
    <row r="325">
      <c r="A325" s="4" t="inlineStr">
        <is>
          <t>14</t>
        </is>
      </c>
      <c r="B325" s="4" t="inlineStr">
        <is>
          <t>リビオタワー品川</t>
        </is>
      </c>
      <c r="C325" s="4" t="inlineStr">
        <is>
          <t>未確認</t>
        </is>
      </c>
      <c r="D325" s="4" t="inlineStr">
        <is>
          <t>価格（63,500万円／68,000万円）</t>
        </is>
      </c>
      <c r="E325" s="4" t="n"/>
      <c r="F325" s="4" t="n"/>
      <c r="G325" s="4" t="n"/>
      <c r="H325" s="4" t="n"/>
      <c r="I325" s="4" t="inlineStr">
        <is>
          <t>未確認</t>
        </is>
      </c>
    </row>
    <row r="326">
      <c r="A326" s="4" t="inlineStr">
        <is>
          <t>14</t>
        </is>
      </c>
      <c r="B326" s="4" t="inlineStr">
        <is>
          <t>リビオタワー品川</t>
        </is>
      </c>
      <c r="C326" s="4" t="inlineStr">
        <is>
          <t>未確認</t>
        </is>
      </c>
      <c r="D326" s="4" t="inlineStr">
        <is>
          <t>取引態様</t>
        </is>
      </c>
      <c r="E326" s="4" t="n"/>
      <c r="F326" s="4" t="n"/>
      <c r="G326" s="4" t="n"/>
      <c r="H326" s="4" t="n"/>
      <c r="I326" s="4" t="inlineStr">
        <is>
          <t>未確認</t>
        </is>
      </c>
    </row>
    <row r="327">
      <c r="A327" s="4" t="inlineStr">
        <is>
          <t>14</t>
        </is>
      </c>
      <c r="B327" s="4" t="inlineStr">
        <is>
          <t>リビオタワー品川</t>
        </is>
      </c>
      <c r="C327" s="4" t="inlineStr">
        <is>
          <t>未確認</t>
        </is>
      </c>
      <c r="D327" s="4" t="inlineStr">
        <is>
          <t>現売主の属性</t>
        </is>
      </c>
      <c r="E327" s="4" t="n"/>
      <c r="F327" s="4" t="n"/>
      <c r="G327" s="4" t="n"/>
      <c r="H327" s="4" t="n"/>
      <c r="I327" s="4" t="inlineStr">
        <is>
          <t>未確認</t>
        </is>
      </c>
    </row>
    <row r="328">
      <c r="A328" s="4" t="inlineStr">
        <is>
          <t>14</t>
        </is>
      </c>
      <c r="B328" s="4" t="inlineStr">
        <is>
          <t>リビオタワー品川</t>
        </is>
      </c>
      <c r="C328" s="4" t="inlineStr">
        <is>
          <t>未確認</t>
        </is>
      </c>
      <c r="D328" s="4" t="inlineStr">
        <is>
          <t>住居表示</t>
        </is>
      </c>
      <c r="E328" s="4" t="n"/>
      <c r="F328" s="4" t="n"/>
      <c r="G328" s="4" t="n"/>
      <c r="H328" s="4" t="n"/>
      <c r="I328" s="4" t="inlineStr">
        <is>
          <t>未確認</t>
        </is>
      </c>
    </row>
    <row r="329">
      <c r="A329" s="4" t="inlineStr">
        <is>
          <t>14</t>
        </is>
      </c>
      <c r="B329" s="4" t="inlineStr">
        <is>
          <t>リビオタワー品川</t>
        </is>
      </c>
      <c r="C329" s="4" t="inlineStr">
        <is>
          <t>未確認</t>
        </is>
      </c>
      <c r="D329" s="4" t="inlineStr">
        <is>
          <t>その他費用198円差</t>
        </is>
      </c>
      <c r="E329" s="4" t="n"/>
      <c r="F329" s="4" t="n"/>
      <c r="G329" s="4" t="n"/>
      <c r="H329" s="4" t="n"/>
      <c r="I329" s="4" t="inlineStr">
        <is>
          <t>未確認</t>
        </is>
      </c>
    </row>
    <row r="330">
      <c r="A330" s="4" t="inlineStr">
        <is>
          <t>14</t>
        </is>
      </c>
      <c r="B330" s="4" t="inlineStr">
        <is>
          <t>リビオタワー品川</t>
        </is>
      </c>
      <c r="C330" s="4" t="inlineStr">
        <is>
          <t>未確認</t>
        </is>
      </c>
      <c r="D330" s="4" t="inlineStr">
        <is>
          <t>向き</t>
        </is>
      </c>
      <c r="E330" s="4" t="n"/>
      <c r="F330" s="4" t="n"/>
      <c r="G330" s="4" t="n"/>
      <c r="H330" s="4" t="n"/>
      <c r="I330" s="4" t="inlineStr">
        <is>
          <t>未確認</t>
        </is>
      </c>
    </row>
    <row r="331">
      <c r="A331" s="4" t="inlineStr">
        <is>
          <t>14</t>
        </is>
      </c>
      <c r="B331" s="4" t="inlineStr">
        <is>
          <t>リビオタワー品川</t>
        </is>
      </c>
      <c r="C331" s="4" t="inlineStr">
        <is>
          <t>未確認</t>
        </is>
      </c>
      <c r="D331" s="4" t="inlineStr">
        <is>
          <t>引渡開始の実績</t>
        </is>
      </c>
      <c r="E331" s="4" t="n"/>
      <c r="F331" s="4" t="n"/>
      <c r="G331" s="4" t="n"/>
      <c r="H331" s="4" t="n"/>
      <c r="I331" s="4" t="inlineStr">
        <is>
          <t>未確認</t>
        </is>
      </c>
    </row>
    <row r="332">
      <c r="A332" s="4" t="inlineStr">
        <is>
          <t>14</t>
        </is>
      </c>
      <c r="B332" s="4" t="inlineStr">
        <is>
          <t>リビオタワー品川</t>
        </is>
      </c>
      <c r="C332" s="4" t="inlineStr">
        <is>
          <t>未確認</t>
        </is>
      </c>
      <c r="D332" s="4" t="inlineStr">
        <is>
          <t>駐車場空き・サイズ制限・優先権</t>
        </is>
      </c>
      <c r="E332" s="4" t="n"/>
      <c r="F332" s="4" t="n"/>
      <c r="G332" s="4" t="n"/>
      <c r="H332" s="4" t="n"/>
      <c r="I332" s="4" t="inlineStr">
        <is>
          <t>未確認</t>
        </is>
      </c>
    </row>
    <row r="333">
      <c r="A333" s="4" t="inlineStr">
        <is>
          <t>14</t>
        </is>
      </c>
      <c r="B333" s="4" t="inlineStr">
        <is>
          <t>リビオタワー品川</t>
        </is>
      </c>
      <c r="C333" s="4" t="inlineStr">
        <is>
          <t>未確認</t>
        </is>
      </c>
      <c r="D333" s="4" t="inlineStr">
        <is>
          <t>液状化の建物敷地メッシュ区分／港区浸水・津波HM個別確認</t>
        </is>
      </c>
      <c r="E333" s="4" t="n"/>
      <c r="F333" s="4" t="n"/>
      <c r="G333" s="4" t="n"/>
      <c r="H333" s="4" t="n"/>
      <c r="I333" s="4" t="inlineStr">
        <is>
          <t>未確認</t>
        </is>
      </c>
    </row>
    <row r="334">
      <c r="A334" s="4" t="inlineStr">
        <is>
          <t>14</t>
        </is>
      </c>
      <c r="B334" s="4" t="inlineStr">
        <is>
          <t>リビオタワー品川</t>
        </is>
      </c>
      <c r="C334" s="4" t="inlineStr">
        <is>
          <t>未確認</t>
        </is>
      </c>
      <c r="D334" s="4" t="inlineStr">
        <is>
          <t>ゴルフレンジ料金・シャトルバス運行ダイヤ・オーナーズラウンジ等細則</t>
        </is>
      </c>
      <c r="E334" s="4" t="n"/>
      <c r="F334" s="4" t="n"/>
      <c r="G334" s="4" t="n"/>
      <c r="H334" s="4" t="n"/>
      <c r="I334" s="4" t="inlineStr">
        <is>
          <t>未確認</t>
        </is>
      </c>
    </row>
    <row r="335">
      <c r="A335" s="4" t="inlineStr">
        <is>
          <t>14</t>
        </is>
      </c>
      <c r="B335" s="4" t="inlineStr">
        <is>
          <t>リビオタワー品川</t>
        </is>
      </c>
      <c r="C335" s="4" t="inlineStr">
        <is>
          <t>未確認</t>
        </is>
      </c>
      <c r="D335" s="4" t="inlineStr">
        <is>
          <t>病院の距離</t>
        </is>
      </c>
      <c r="E335" s="4" t="n"/>
      <c r="F335" s="4" t="n"/>
      <c r="G335" s="4" t="n"/>
      <c r="H335" s="4" t="n"/>
      <c r="I335" s="4" t="inlineStr">
        <is>
          <t>未確認</t>
        </is>
      </c>
    </row>
    <row r="336">
      <c r="A336" s="4" t="inlineStr">
        <is>
          <t>14</t>
        </is>
      </c>
      <c r="B336" s="4" t="inlineStr">
        <is>
          <t>リビオタワー品川</t>
        </is>
      </c>
      <c r="C336" s="4" t="inlineStr">
        <is>
          <t>未確認</t>
        </is>
      </c>
      <c r="D336" s="4" t="inlineStr">
        <is>
          <t>購入時一時金の本件での扱い</t>
        </is>
      </c>
      <c r="E336" s="4" t="n"/>
      <c r="F336" s="4" t="n"/>
      <c r="G336" s="4" t="n"/>
      <c r="H336" s="4" t="n"/>
      <c r="I336" s="4" t="inlineStr">
        <is>
          <t>未確認</t>
        </is>
      </c>
    </row>
    <row r="337">
      <c r="A337" s="4" t="inlineStr">
        <is>
          <t>15</t>
        </is>
      </c>
      <c r="B337" s="4" t="inlineStr">
        <is>
          <t>パークコート北青山</t>
        </is>
      </c>
      <c r="C337" s="4" t="inlineStr">
        <is>
          <t>食い違い</t>
        </is>
      </c>
      <c r="D337" s="4" t="inlineStr">
        <is>
          <t>竣工年月</t>
        </is>
      </c>
      <c r="E337" s="4" t="inlineStr">
        <is>
          <t>2025年3月（図面B-p02、ノムコム、PLAZA HOMES、東急リバブル）</t>
        </is>
      </c>
      <c r="F337" s="4" t="inlineStr">
        <is>
          <t>2025年5月（三井不動産レジデンシャル2025/10/20リリース、リハウス、SUUMO）／2025年6月（KEN、三井の賃貸、rf12、マンションレビュー）</t>
        </is>
      </c>
      <c r="G337" s="4" t="inlineStr">
        <is>
          <t>分譲会社リリースの物件概要で竣工時期2025年5月</t>
        </is>
      </c>
      <c r="H337" s="4" t="inlineStr">
        <is>
          <t>2025年5月（元付へ確認推奨）</t>
        </is>
      </c>
      <c r="I337" s="4" t="inlineStr">
        <is>
          <t>未確認</t>
        </is>
      </c>
    </row>
    <row r="338">
      <c r="A338" s="4" t="inlineStr">
        <is>
          <t>15</t>
        </is>
      </c>
      <c r="B338" s="4" t="inlineStr">
        <is>
          <t>パークコート北青山</t>
        </is>
      </c>
      <c r="C338" s="4" t="inlineStr">
        <is>
          <t>食い違い</t>
        </is>
      </c>
      <c r="D338" s="4" t="inlineStr">
        <is>
          <t>5階 修繕積立金</t>
        </is>
      </c>
      <c r="E338" s="4" t="inlineStr">
        <is>
          <t>33,550円（図面B-p02）</t>
        </is>
      </c>
      <c r="F338" s="4" t="inlineStr">
        <is>
          <t>30,500円（リハウスF15BAA01、KEN 2026015411）</t>
        </is>
      </c>
      <c r="G338" s="4" t="inlineStr">
        <is>
          <t>公式に住戸別金額なし</t>
        </is>
      </c>
      <c r="H338" s="4" t="inlineStr">
        <is>
          <t>33,550円（暫定・元付確認要）</t>
        </is>
      </c>
      <c r="I338" s="4" t="inlineStr">
        <is>
          <t>未確認</t>
        </is>
      </c>
    </row>
    <row r="339">
      <c r="A339" s="4" t="inlineStr">
        <is>
          <t>15</t>
        </is>
      </c>
      <c r="B339" s="4" t="inlineStr">
        <is>
          <t>パークコート北青山</t>
        </is>
      </c>
      <c r="C339" s="4" t="inlineStr">
        <is>
          <t>食い違い</t>
        </is>
      </c>
      <c r="D339" s="4" t="inlineStr">
        <is>
          <t>5階 向き</t>
        </is>
      </c>
      <c r="E339" s="4" t="inlineStr">
        <is>
          <t>南西（リハウス）</t>
        </is>
      </c>
      <c r="F339" s="4" t="inlineStr">
        <is>
          <t>北西（KEN）</t>
        </is>
      </c>
      <c r="G339" s="4" t="inlineStr">
        <is>
          <t>図面に方位の文字表記なし。方位記号目視で西寄り。7階同タイプは西（マンションレビュー）</t>
        </is>
      </c>
      <c r="H339" s="4" t="inlineStr">
        <is>
          <t>西向き（表記差あり・要確認）</t>
        </is>
      </c>
      <c r="I339" s="4" t="inlineStr">
        <is>
          <t>未確認</t>
        </is>
      </c>
    </row>
    <row r="340">
      <c r="A340" s="4" t="inlineStr">
        <is>
          <t>15</t>
        </is>
      </c>
      <c r="B340" s="4" t="inlineStr">
        <is>
          <t>パークコート北青山</t>
        </is>
      </c>
      <c r="C340" s="4" t="inlineStr">
        <is>
          <t>食い違い</t>
        </is>
      </c>
      <c r="D340" s="4" t="inlineStr">
        <is>
          <t>所在地表記</t>
        </is>
      </c>
      <c r="E340" s="4" t="inlineStr">
        <is>
          <t>北青山2丁目12番40（図面）</t>
        </is>
      </c>
      <c r="F340" s="4" t="inlineStr">
        <is>
          <t>北青山二丁目12番40号（住居表示）（三井不動産レジデンシャル リリース）</t>
        </is>
      </c>
      <c r="G340" s="4" t="inlineStr">
        <is>
          <t>住居表示と確認</t>
        </is>
      </c>
      <c r="H340" s="4" t="inlineStr">
        <is>
          <t>港区北青山二丁目12番40号</t>
        </is>
      </c>
      <c r="I340" s="4" t="inlineStr">
        <is>
          <t>解消</t>
        </is>
      </c>
    </row>
    <row r="341">
      <c r="A341" s="4" t="inlineStr">
        <is>
          <t>15</t>
        </is>
      </c>
      <c r="B341" s="4" t="inlineStr">
        <is>
          <t>パークコート北青山</t>
        </is>
      </c>
      <c r="C341" s="4" t="inlineStr">
        <is>
          <t>食い違い</t>
        </is>
      </c>
      <c r="D341" s="4" t="inlineStr">
        <is>
          <t>敷地面積</t>
        </is>
      </c>
      <c r="E341" s="4" t="inlineStr">
        <is>
          <t>地積790.96㎡（図面）</t>
        </is>
      </c>
      <c r="F341" s="4" t="inlineStr">
        <is>
          <t>敷地面積790.99㎡（リリース）</t>
        </is>
      </c>
      <c r="G341" s="4" t="inlineStr">
        <is>
          <t>差の理由未確認</t>
        </is>
      </c>
      <c r="H341" s="4" t="inlineStr">
        <is>
          <t>両方併記</t>
        </is>
      </c>
      <c r="I341" s="4" t="inlineStr">
        <is>
          <t>未確認</t>
        </is>
      </c>
    </row>
    <row r="342">
      <c r="A342" s="4" t="inlineStr">
        <is>
          <t>15</t>
        </is>
      </c>
      <c r="B342" s="4" t="inlineStr">
        <is>
          <t>パークコート北青山</t>
        </is>
      </c>
      <c r="C342" s="4" t="inlineStr">
        <is>
          <t>食い違い</t>
        </is>
      </c>
      <c r="D342" s="4" t="inlineStr">
        <is>
          <t>引渡時期</t>
        </is>
      </c>
      <c r="E342" s="4" t="inlineStr">
        <is>
          <t>即可（図面・KEN）</t>
        </is>
      </c>
      <c r="F342" s="4" t="inlineStr">
        <is>
          <t>相談（リハウス）</t>
        </is>
      </c>
      <c r="G342" s="4" t="inlineStr">
        <is>
          <t>-</t>
        </is>
      </c>
      <c r="H342" s="4" t="inlineStr">
        <is>
          <t>即可（元付図面）</t>
        </is>
      </c>
      <c r="I342" s="4" t="inlineStr">
        <is>
          <t>解消</t>
        </is>
      </c>
    </row>
    <row r="343">
      <c r="A343" s="4" t="inlineStr">
        <is>
          <t>15</t>
        </is>
      </c>
      <c r="B343" s="4" t="inlineStr">
        <is>
          <t>パークコート北青山</t>
        </is>
      </c>
      <c r="C343" s="4" t="inlineStr">
        <is>
          <t>食い違い</t>
        </is>
      </c>
      <c r="D343" s="4" t="inlineStr">
        <is>
          <t>施工会社</t>
        </is>
      </c>
      <c r="E343" s="4" t="inlineStr">
        <is>
          <t>村本建設（図面・公式・リリース）</t>
        </is>
      </c>
      <c r="F343" s="4" t="inlineStr">
        <is>
          <t>松本建設（KEN）</t>
        </is>
      </c>
      <c r="G343" s="4" t="inlineStr">
        <is>
          <t>公式で村本建設</t>
        </is>
      </c>
      <c r="H343" s="4" t="inlineStr">
        <is>
          <t>村本建設</t>
        </is>
      </c>
      <c r="I343" s="4" t="inlineStr">
        <is>
          <t>解消</t>
        </is>
      </c>
    </row>
    <row r="344">
      <c r="A344" s="4" t="inlineStr">
        <is>
          <t>15</t>
        </is>
      </c>
      <c r="B344" s="4" t="inlineStr">
        <is>
          <t>パークコート北青山</t>
        </is>
      </c>
      <c r="C344" s="4" t="inlineStr">
        <is>
          <t>食い違い</t>
        </is>
      </c>
      <c r="D344" s="4" t="inlineStr">
        <is>
          <t>顔認証とPabbit</t>
        </is>
      </c>
      <c r="E344" s="4" t="inlineStr">
        <is>
          <t>顔認証システム採用（Pabbit）（図面）</t>
        </is>
      </c>
      <c r="F344" s="4" t="inlineStr">
        <is>
          <t>Pabbitは荷物認証式宅配ソリューション（リリース）</t>
        </is>
      </c>
      <c r="G344" s="4" t="inlineStr">
        <is>
          <t>顔認証の提供元未確認</t>
        </is>
      </c>
      <c r="H344" s="4" t="inlineStr">
        <is>
          <t>顔認証と宅配（Pabbit）を分けて記載</t>
        </is>
      </c>
      <c r="I344" s="4" t="inlineStr">
        <is>
          <t>未確認</t>
        </is>
      </c>
    </row>
    <row r="345">
      <c r="A345" s="4" t="inlineStr">
        <is>
          <t>15</t>
        </is>
      </c>
      <c r="B345" s="4" t="inlineStr">
        <is>
          <t>パークコート北青山</t>
        </is>
      </c>
      <c r="C345" s="4" t="inlineStr">
        <is>
          <t>未確認</t>
        </is>
      </c>
      <c r="D345" s="4" t="inlineStr">
        <is>
          <t>デザイン監修</t>
        </is>
      </c>
      <c r="E345" s="4" t="n"/>
      <c r="F345" s="4" t="n"/>
      <c r="G345" s="4" t="n"/>
      <c r="H345" s="4" t="n"/>
      <c r="I345" s="4" t="inlineStr">
        <is>
          <t>未確認</t>
        </is>
      </c>
    </row>
    <row r="346">
      <c r="A346" s="4" t="inlineStr">
        <is>
          <t>15</t>
        </is>
      </c>
      <c r="B346" s="4" t="inlineStr">
        <is>
          <t>パークコート北青山</t>
        </is>
      </c>
      <c r="C346" s="4" t="inlineStr">
        <is>
          <t>未確認</t>
        </is>
      </c>
      <c r="D346" s="4" t="inlineStr">
        <is>
          <t>耐震/免震/制震</t>
        </is>
      </c>
      <c r="E346" s="4" t="n"/>
      <c r="F346" s="4" t="n"/>
      <c r="G346" s="4" t="n"/>
      <c r="H346" s="4" t="n"/>
      <c r="I346" s="4" t="inlineStr">
        <is>
          <t>未確認</t>
        </is>
      </c>
    </row>
    <row r="347">
      <c r="A347" s="4" t="inlineStr">
        <is>
          <t>15</t>
        </is>
      </c>
      <c r="B347" s="4" t="inlineStr">
        <is>
          <t>パークコート北青山</t>
        </is>
      </c>
      <c r="C347" s="4" t="inlineStr">
        <is>
          <t>未確認</t>
        </is>
      </c>
      <c r="D347" s="4" t="inlineStr">
        <is>
          <t>二重床・二重天井</t>
        </is>
      </c>
      <c r="E347" s="4" t="n"/>
      <c r="F347" s="4" t="n"/>
      <c r="G347" s="4" t="n"/>
      <c r="H347" s="4" t="n"/>
      <c r="I347" s="4" t="inlineStr">
        <is>
          <t>未確認</t>
        </is>
      </c>
    </row>
    <row r="348">
      <c r="A348" s="4" t="inlineStr">
        <is>
          <t>15</t>
        </is>
      </c>
      <c r="B348" s="4" t="inlineStr">
        <is>
          <t>パークコート北青山</t>
        </is>
      </c>
      <c r="C348" s="4" t="inlineStr">
        <is>
          <t>未確認</t>
        </is>
      </c>
      <c r="D348" s="4" t="inlineStr">
        <is>
          <t>内廊下</t>
        </is>
      </c>
      <c r="E348" s="4" t="n"/>
      <c r="F348" s="4" t="n"/>
      <c r="G348" s="4" t="n"/>
      <c r="H348" s="4" t="n"/>
      <c r="I348" s="4" t="inlineStr">
        <is>
          <t>未確認</t>
        </is>
      </c>
    </row>
    <row r="349">
      <c r="A349" s="4" t="inlineStr">
        <is>
          <t>15</t>
        </is>
      </c>
      <c r="B349" s="4" t="inlineStr">
        <is>
          <t>パークコート北青山</t>
        </is>
      </c>
      <c r="C349" s="4" t="inlineStr">
        <is>
          <t>未確認</t>
        </is>
      </c>
      <c r="D349" s="4" t="inlineStr">
        <is>
          <t>天井高</t>
        </is>
      </c>
      <c r="E349" s="4" t="n"/>
      <c r="F349" s="4" t="n"/>
      <c r="G349" s="4" t="n"/>
      <c r="H349" s="4" t="n"/>
      <c r="I349" s="4" t="inlineStr">
        <is>
          <t>未確認</t>
        </is>
      </c>
    </row>
    <row r="350">
      <c r="A350" s="4" t="inlineStr">
        <is>
          <t>15</t>
        </is>
      </c>
      <c r="B350" s="4" t="inlineStr">
        <is>
          <t>パークコート北青山</t>
        </is>
      </c>
      <c r="C350" s="4" t="inlineStr">
        <is>
          <t>未確認</t>
        </is>
      </c>
      <c r="D350" s="4" t="inlineStr">
        <is>
          <t>建ぺい率・容積率</t>
        </is>
      </c>
      <c r="E350" s="4" t="n"/>
      <c r="F350" s="4" t="n"/>
      <c r="G350" s="4" t="n"/>
      <c r="H350" s="4" t="n"/>
      <c r="I350" s="4" t="inlineStr">
        <is>
          <t>未確認</t>
        </is>
      </c>
    </row>
    <row r="351">
      <c r="A351" s="4" t="inlineStr">
        <is>
          <t>15</t>
        </is>
      </c>
      <c r="B351" s="4" t="inlineStr">
        <is>
          <t>パークコート北青山</t>
        </is>
      </c>
      <c r="C351" s="4" t="inlineStr">
        <is>
          <t>未確認</t>
        </is>
      </c>
      <c r="D351" s="4" t="inlineStr">
        <is>
          <t>大規模修繕（長期修繕計画）</t>
        </is>
      </c>
      <c r="E351" s="4" t="n"/>
      <c r="F351" s="4" t="n"/>
      <c r="G351" s="4" t="n"/>
      <c r="H351" s="4" t="n"/>
      <c r="I351" s="4" t="inlineStr">
        <is>
          <t>未確認</t>
        </is>
      </c>
    </row>
    <row r="352">
      <c r="A352" s="4" t="inlineStr">
        <is>
          <t>15</t>
        </is>
      </c>
      <c r="B352" s="4" t="inlineStr">
        <is>
          <t>パークコート北青山</t>
        </is>
      </c>
      <c r="C352" s="4" t="inlineStr">
        <is>
          <t>未確認</t>
        </is>
      </c>
      <c r="D352" s="4" t="inlineStr">
        <is>
          <t>バイク置場</t>
        </is>
      </c>
      <c r="E352" s="4" t="n"/>
      <c r="F352" s="4" t="n"/>
      <c r="G352" s="4" t="n"/>
      <c r="H352" s="4" t="n"/>
      <c r="I352" s="4" t="inlineStr">
        <is>
          <t>未確認</t>
        </is>
      </c>
    </row>
    <row r="353">
      <c r="A353" s="4" t="inlineStr">
        <is>
          <t>15</t>
        </is>
      </c>
      <c r="B353" s="4" t="inlineStr">
        <is>
          <t>パークコート北青山</t>
        </is>
      </c>
      <c r="C353" s="4" t="inlineStr">
        <is>
          <t>未確認</t>
        </is>
      </c>
      <c r="D353" s="4" t="inlineStr">
        <is>
          <t>駐車場サイズ制限・形式</t>
        </is>
      </c>
      <c r="E353" s="4" t="n"/>
      <c r="F353" s="4" t="n"/>
      <c r="G353" s="4" t="n"/>
      <c r="H353" s="4" t="n"/>
      <c r="I353" s="4" t="inlineStr">
        <is>
          <t>未確認</t>
        </is>
      </c>
    </row>
    <row r="354">
      <c r="A354" s="4" t="inlineStr">
        <is>
          <t>15</t>
        </is>
      </c>
      <c r="B354" s="4" t="inlineStr">
        <is>
          <t>パークコート北青山</t>
        </is>
      </c>
      <c r="C354" s="4" t="inlineStr">
        <is>
          <t>未確認</t>
        </is>
      </c>
      <c r="D354" s="4" t="inlineStr">
        <is>
          <t>液状化・内水ハザード（港区マップ未閲覧）</t>
        </is>
      </c>
      <c r="E354" s="4" t="n"/>
      <c r="F354" s="4" t="n"/>
      <c r="G354" s="4" t="n"/>
      <c r="H354" s="4" t="n"/>
      <c r="I354" s="4" t="inlineStr">
        <is>
          <t>未確認</t>
        </is>
      </c>
    </row>
    <row r="355">
      <c r="A355" s="4" t="inlineStr">
        <is>
          <t>15</t>
        </is>
      </c>
      <c r="B355" s="4" t="inlineStr">
        <is>
          <t>パークコート北青山</t>
        </is>
      </c>
      <c r="C355" s="4" t="inlineStr">
        <is>
          <t>未確認</t>
        </is>
      </c>
      <c r="D355" s="4" t="inlineStr">
        <is>
          <t>スーパー・コンビニ・病院の距離</t>
        </is>
      </c>
      <c r="E355" s="4" t="n"/>
      <c r="F355" s="4" t="n"/>
      <c r="G355" s="4" t="n"/>
      <c r="H355" s="4" t="n"/>
      <c r="I355" s="4" t="inlineStr">
        <is>
          <t>未確認</t>
        </is>
      </c>
    </row>
    <row r="356">
      <c r="A356" s="4" t="inlineStr">
        <is>
          <t>15</t>
        </is>
      </c>
      <c r="B356" s="4" t="inlineStr">
        <is>
          <t>パークコート北青山</t>
        </is>
      </c>
      <c r="C356" s="4" t="inlineStr">
        <is>
          <t>未確認</t>
        </is>
      </c>
      <c r="D356" s="4" t="inlineStr">
        <is>
          <t>バルコニー使用料</t>
        </is>
      </c>
      <c r="E356" s="4" t="n"/>
      <c r="F356" s="4" t="n"/>
      <c r="G356" s="4" t="n"/>
      <c r="H356" s="4" t="n"/>
      <c r="I356" s="4" t="inlineStr">
        <is>
          <t>未確認</t>
        </is>
      </c>
    </row>
    <row r="357">
      <c r="A357" s="4" t="inlineStr">
        <is>
          <t>15</t>
        </is>
      </c>
      <c r="B357" s="4" t="inlineStr">
        <is>
          <t>パークコート北青山</t>
        </is>
      </c>
      <c r="C357" s="4" t="inlineStr">
        <is>
          <t>未確認</t>
        </is>
      </c>
      <c r="D357" s="4" t="inlineStr">
        <is>
          <t>修繕積立金の正しい金額</t>
        </is>
      </c>
      <c r="E357" s="4" t="n"/>
      <c r="F357" s="4" t="n"/>
      <c r="G357" s="4" t="n"/>
      <c r="H357" s="4" t="n"/>
      <c r="I357" s="4" t="inlineStr">
        <is>
          <t>未確認</t>
        </is>
      </c>
    </row>
    <row r="358">
      <c r="A358" s="4" t="inlineStr">
        <is>
          <t>15</t>
        </is>
      </c>
      <c r="B358" s="4" t="inlineStr">
        <is>
          <t>パークコート北青山</t>
        </is>
      </c>
      <c r="C358" s="4" t="inlineStr">
        <is>
          <t>未確認</t>
        </is>
      </c>
      <c r="D358" s="4" t="inlineStr">
        <is>
          <t>向き</t>
        </is>
      </c>
      <c r="E358" s="4" t="n"/>
      <c r="F358" s="4" t="n"/>
      <c r="G358" s="4" t="n"/>
      <c r="H358" s="4" t="n"/>
      <c r="I358" s="4" t="inlineStr">
        <is>
          <t>未確認</t>
        </is>
      </c>
    </row>
    <row r="359">
      <c r="A359" s="4" t="inlineStr">
        <is>
          <t>15</t>
        </is>
      </c>
      <c r="B359" s="4" t="inlineStr">
        <is>
          <t>パークコート北青山</t>
        </is>
      </c>
      <c r="C359" s="4" t="inlineStr">
        <is>
          <t>未確認</t>
        </is>
      </c>
      <c r="D359" s="4" t="inlineStr">
        <is>
          <t>ZEH-M/BELS認証の有無</t>
        </is>
      </c>
      <c r="E359" s="4" t="n"/>
      <c r="F359" s="4" t="n"/>
      <c r="G359" s="4" t="n"/>
      <c r="H359" s="4" t="n"/>
      <c r="I359" s="4" t="inlineStr">
        <is>
          <t>未確認</t>
        </is>
      </c>
    </row>
    <row r="360">
      <c r="A360" s="4" t="inlineStr">
        <is>
          <t>15</t>
        </is>
      </c>
      <c r="B360" s="4" t="inlineStr">
        <is>
          <t>パークコート北青山</t>
        </is>
      </c>
      <c r="C360" s="4" t="inlineStr">
        <is>
          <t>未確認</t>
        </is>
      </c>
      <c r="D360" s="4" t="inlineStr">
        <is>
          <t>登記地番</t>
        </is>
      </c>
      <c r="E360" s="4" t="n"/>
      <c r="F360" s="4" t="n"/>
      <c r="G360" s="4" t="n"/>
      <c r="H360" s="4" t="n"/>
      <c r="I360" s="4" t="inlineStr">
        <is>
          <t>未確認</t>
        </is>
      </c>
    </row>
  </sheetData>
  <autoFilter ref="A3:I36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2026-09-27T10:10:58Z</dcterms:created>
  <dcterms:modified xmlns:dcterms="http://purl.org/dc/terms/" xmlns:xsi="http://www.w3.org/2001/XMLSchema-instance" xsi:type="dcterms:W3CDTF">2026-09-27T10:10:58Z</dcterms:modified>
</cp:coreProperties>
</file>